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ell\OneDrive\Desktop\Month_4\Salaries\"/>
    </mc:Choice>
  </mc:AlternateContent>
  <xr:revisionPtr revIDLastSave="0" documentId="13_ncr:1_{65F087F9-ABAE-4CE9-8160-112C357A89E4}" xr6:coauthVersionLast="47" xr6:coauthVersionMax="47" xr10:uidLastSave="{00000000-0000-0000-0000-000000000000}"/>
  <bookViews>
    <workbookView xWindow="-105" yWindow="0" windowWidth="19125" windowHeight="15585" firstSheet="1" activeTab="1" xr2:uid="{00000000-000D-0000-FFFF-FFFF00000000}"/>
  </bookViews>
  <sheets>
    <sheet name="مخطط1" sheetId="2" r:id="rId1"/>
    <sheet name="ورقة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 i="1" l="1"/>
  <c r="D24" i="1"/>
  <c r="F24" i="1"/>
  <c r="T37" i="1"/>
  <c r="R37" i="1"/>
  <c r="N37" i="1"/>
  <c r="M37" i="1"/>
  <c r="L37" i="1"/>
  <c r="H37" i="1"/>
  <c r="G37" i="1"/>
  <c r="F37" i="1"/>
  <c r="E37" i="1"/>
  <c r="C37" i="1"/>
  <c r="B37" i="1"/>
  <c r="F22" i="1"/>
  <c r="T36" i="1"/>
  <c r="N36" i="1"/>
  <c r="L36" i="1"/>
  <c r="H36" i="1"/>
  <c r="B36" i="1"/>
  <c r="D19" i="1"/>
  <c r="F19" i="1"/>
  <c r="C17" i="1"/>
  <c r="R17" i="1"/>
  <c r="R10" i="1"/>
  <c r="F10" i="1"/>
  <c r="P10" i="1"/>
  <c r="J10" i="1"/>
  <c r="R7" i="1"/>
  <c r="F7" i="1"/>
  <c r="X28" i="1"/>
  <c r="F5" i="1" l="1"/>
  <c r="S33" i="1" l="1"/>
  <c r="S34" i="1" s="1"/>
  <c r="S38" i="1" s="1"/>
  <c r="T33" i="1"/>
  <c r="T34" i="1" s="1"/>
  <c r="F41" i="1" l="1"/>
  <c r="W35" i="1" l="1"/>
  <c r="W28" i="1" l="1"/>
  <c r="W38" i="1"/>
  <c r="V28" i="1" l="1"/>
  <c r="U33" i="1"/>
  <c r="U34" i="1" s="1"/>
  <c r="D37" i="1" l="1"/>
  <c r="V24" i="1" s="1"/>
  <c r="Y28" i="1" l="1"/>
  <c r="H33" i="1" l="1"/>
  <c r="G33" i="1"/>
  <c r="F33" i="1"/>
  <c r="E33" i="1"/>
  <c r="D33" i="1"/>
  <c r="C33" i="1"/>
  <c r="R33" i="1"/>
  <c r="R34" i="1" s="1"/>
  <c r="Q33" i="1"/>
  <c r="P33" i="1"/>
  <c r="P34" i="1" s="1"/>
  <c r="O33" i="1"/>
  <c r="N33" i="1"/>
  <c r="M33" i="1"/>
  <c r="L33" i="1"/>
  <c r="K33" i="1"/>
  <c r="J33" i="1"/>
  <c r="B33" i="1"/>
  <c r="B34" i="1" s="1"/>
  <c r="R36" i="1" l="1"/>
  <c r="D36" i="1" l="1"/>
  <c r="F36" i="1"/>
  <c r="H34" i="1" l="1"/>
  <c r="O34" i="1" l="1"/>
  <c r="C34" i="1"/>
  <c r="N34" i="1" l="1"/>
  <c r="N38" i="1" s="1"/>
  <c r="G36" i="1"/>
  <c r="R38" i="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2" i="1"/>
  <c r="T38" i="1" l="1"/>
  <c r="F34" i="1" l="1"/>
  <c r="F38" i="1" s="1"/>
  <c r="Q34" i="1" l="1"/>
  <c r="Q38" i="1" s="1"/>
  <c r="D34" i="1" l="1"/>
  <c r="D38" i="1" s="1"/>
  <c r="M34" i="1" l="1"/>
  <c r="J34" i="1" l="1"/>
  <c r="G34" i="1"/>
  <c r="G38" i="1" s="1"/>
  <c r="P38" i="1" l="1"/>
  <c r="O38" i="1"/>
  <c r="M38" i="1"/>
  <c r="L34" i="1"/>
  <c r="L38" i="1" s="1"/>
  <c r="K34" i="1"/>
  <c r="K38" i="1" s="1"/>
  <c r="J38" i="1"/>
  <c r="H38" i="1"/>
  <c r="B38" i="1"/>
  <c r="C38" i="1" l="1"/>
  <c r="E34" i="1"/>
  <c r="E3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tc={A501EA2B-A7F7-4AA5-9D4E-16E890353B84}</author>
    <author>tc={053E3374-A941-4425-BEA2-BD322EC3E46C}</author>
    <author>tc={75608FF2-3075-452B-AE83-321CC302886C}</author>
    <author>tc={59E96417-C488-414C-B333-5E8432E1542E}</author>
    <author>tc={7D5C8E9C-844A-45F2-AEC7-F3760C8C3FDA}</author>
    <author>tc={5F4C2469-C911-407B-AC23-486A3D18408E}</author>
    <author>tc={1F91E0B7-1447-4AF5-8C4B-8A571C44245A}</author>
  </authors>
  <commentList>
    <comment ref="F2" authorId="0" shapeId="0" xr:uid="{A501EA2B-A7F7-4AA5-9D4E-16E890353B84}">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مديونيات شهر 3</t>
      </text>
    </comment>
    <comment ref="F5" authorId="1" shapeId="0" xr:uid="{053E3374-A941-4425-BEA2-BD322EC3E46C}">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سلفة 1100 + ديون ابوعلي نص 1900</t>
      </text>
    </comment>
    <comment ref="F8" authorId="2" shapeId="0" xr:uid="{75608FF2-3075-452B-AE83-321CC302886C}">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دين ورشة</t>
      </text>
    </comment>
    <comment ref="P10" authorId="3" shapeId="0" xr:uid="{59E96417-C488-414C-B333-5E8432E1542E}">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سلفة تحويل + غداء</t>
      </text>
    </comment>
    <comment ref="R10" authorId="4" shapeId="0" xr:uid="{7D5C8E9C-844A-45F2-AEC7-F3760C8C3FDA}">
      <text>
        <t xml:space="preserve">[تعليق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رجيع طبة رديتر انوفا 80
</t>
      </text>
    </comment>
    <comment ref="F22" authorId="5" shapeId="0" xr:uid="{5F4C2469-C911-407B-AC23-486A3D18408E}">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حسم مخالفة مرورية 225</t>
      </text>
    </comment>
    <comment ref="B36" authorId="6" shapeId="0" xr:uid="{1F91E0B7-1447-4AF5-8C4B-8A571C44245A}">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استرجاع راتب كاش 115</t>
      </text>
    </comment>
  </commentList>
</comments>
</file>

<file path=xl/sharedStrings.xml><?xml version="1.0" encoding="utf-8"?>
<sst xmlns="http://schemas.openxmlformats.org/spreadsheetml/2006/main" count="36" uniqueCount="35">
  <si>
    <t>التاريخ</t>
  </si>
  <si>
    <t>تارقت الفنين</t>
  </si>
  <si>
    <t>كهرباء</t>
  </si>
  <si>
    <t>تارقت المكتب</t>
  </si>
  <si>
    <t>اجمالي خصميات</t>
  </si>
  <si>
    <t>تارقت الكشيفة</t>
  </si>
  <si>
    <t xml:space="preserve">رواتب </t>
  </si>
  <si>
    <t>الراتب الاساسي</t>
  </si>
  <si>
    <t>ايداع مؤسسة</t>
  </si>
  <si>
    <t>التارقت</t>
  </si>
  <si>
    <t>اجمالي السحبيات</t>
  </si>
  <si>
    <t>المتبقي من راتب اساسي</t>
  </si>
  <si>
    <t xml:space="preserve">المتبقي  الصافي </t>
  </si>
  <si>
    <t>omar</t>
  </si>
  <si>
    <t>khalid</t>
  </si>
  <si>
    <t>Rashid</t>
  </si>
  <si>
    <t>sarfras</t>
  </si>
  <si>
    <t>Ahmed</t>
  </si>
  <si>
    <t>abdulelah</t>
  </si>
  <si>
    <t>wesam</t>
  </si>
  <si>
    <t>Rayan</t>
  </si>
  <si>
    <t>talal</t>
  </si>
  <si>
    <t>Faris</t>
  </si>
  <si>
    <t>ameen</t>
  </si>
  <si>
    <t>mohammed i</t>
  </si>
  <si>
    <t>Amir</t>
  </si>
  <si>
    <t>Ali</t>
  </si>
  <si>
    <t>samer i</t>
  </si>
  <si>
    <t>Nadir</t>
  </si>
  <si>
    <t>TURKY</t>
  </si>
  <si>
    <t xml:space="preserve">عيد الزين </t>
  </si>
  <si>
    <t>رواتب تسويق</t>
  </si>
  <si>
    <t>اجازة سنوية</t>
  </si>
  <si>
    <t>samer-wahid</t>
  </si>
  <si>
    <t>yaqoob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</si>
</sst>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scheme val="minor"/>
    </font>
    <font>
      <sz val="11"/>
      <color theme="0"/>
      <name val="Arial"/>
      <family val="2"/>
      <scheme val="minor"/>
    </font>
    <font>
      <sz val="11"/>
      <color theme="2"/>
      <name val="Arial"/>
      <family val="2"/>
      <scheme val="minor"/>
    </font>
    <font>
      <b/>
      <sz val="12"/>
      <color theme="1"/>
      <name val="Arial"/>
      <family val="2"/>
      <scheme val="minor"/>
    </font>
    <font>
      <b/>
      <sz val="12"/>
      <color theme="0"/>
      <name val="Arial"/>
      <family val="2"/>
      <scheme val="minor"/>
    </font>
    <font>
      <sz val="11"/>
      <color theme="4" tint="-0.249977111117893"/>
      <name val="Arial"/>
      <family val="2"/>
      <scheme val="minor"/>
    </font>
    <font>
      <u/>
      <sz val="11"/>
      <color theme="1"/>
      <name val="Arial"/>
      <family val="2"/>
      <scheme val="minor"/>
    </font>
    <font>
      <sz val="11"/>
      <color rgb="FFFF0000"/>
      <name val="Arial"/>
      <family val="2"/>
      <scheme val="minor"/>
    </font>
    <font>
      <sz val="11"/>
      <color theme="9" tint="-0.249977111117893"/>
      <name val="Arial"/>
      <family val="2"/>
      <scheme val="minor"/>
    </font>
    <font>
      <sz val="11"/>
      <color theme="1" tint="4.9989318521683403E-2"/>
      <name val="Arial"/>
      <family val="2"/>
      <scheme val="minor"/>
    </font>
    <font>
      <sz val="11"/>
      <color theme="1" tint="0.14999847407452621"/>
      <name val="Arial"/>
      <family val="2"/>
      <scheme val="minor"/>
    </font>
    <font>
      <b/>
      <sz val="10"/>
      <color theme="0"/>
      <name val="Arial"/>
      <family val="2"/>
      <scheme val="minor"/>
    </font>
    <font>
      <sz val="11"/>
      <color rgb="FF00B050"/>
      <name val="Arial"/>
      <family val="2"/>
      <scheme val="minor"/>
    </font>
    <font>
      <sz val="11"/>
      <color rgb="FF00B0F0"/>
      <name val="Arial"/>
      <family val="2"/>
      <scheme val="minor"/>
    </font>
    <font>
      <b/>
      <sz val="11"/>
      <color theme="1"/>
      <name val="Arial"/>
      <family val="2"/>
      <scheme val="minor"/>
    </font>
    <font>
      <sz val="9"/>
      <color theme="1"/>
      <name val="Arial"/>
      <family val="2"/>
      <scheme val="minor"/>
    </font>
    <font>
      <sz val="10"/>
      <color theme="0"/>
      <name val="Arial"/>
      <family val="2"/>
      <scheme val="minor"/>
    </font>
    <font>
      <sz val="12"/>
      <color theme="1"/>
      <name val="Arial"/>
      <family val="2"/>
      <scheme val="minor"/>
    </font>
    <font>
      <b/>
      <sz val="11"/>
      <color theme="1" tint="4.9989318521683403E-2"/>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rgb="FF7608C8"/>
        <bgColor indexed="64"/>
      </patternFill>
    </fill>
    <fill>
      <patternFill patternType="solid">
        <fgColor rgb="FFFFC000"/>
        <bgColor indexed="64"/>
      </patternFill>
    </fill>
    <fill>
      <patternFill patternType="solid">
        <fgColor theme="4" tint="-0.249977111117893"/>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2" borderId="0" xfId="0" applyFill="1"/>
    <xf numFmtId="0" fontId="0" fillId="0" borderId="0" xfId="0" applyAlignment="1">
      <alignment horizontal="left"/>
    </xf>
    <xf numFmtId="0" fontId="2" fillId="3" borderId="0" xfId="0" applyFont="1" applyFill="1"/>
    <xf numFmtId="0" fontId="0" fillId="0" borderId="0" xfId="0" applyAlignment="1">
      <alignment horizontal="center"/>
    </xf>
    <xf numFmtId="0" fontId="1" fillId="5" borderId="0" xfId="0" applyFont="1" applyFill="1"/>
    <xf numFmtId="0" fontId="3" fillId="4" borderId="0" xfId="0" applyFont="1" applyFill="1" applyAlignment="1">
      <alignment horizontal="center"/>
    </xf>
    <xf numFmtId="0" fontId="4" fillId="3" borderId="0" xfId="0" applyFont="1" applyFill="1" applyAlignment="1">
      <alignment horizontal="center"/>
    </xf>
    <xf numFmtId="0" fontId="4" fillId="5" borderId="0" xfId="0" applyFont="1" applyFill="1" applyAlignment="1">
      <alignment horizontal="center"/>
    </xf>
    <xf numFmtId="0" fontId="5" fillId="0" borderId="0" xfId="0" applyFont="1"/>
    <xf numFmtId="0" fontId="1" fillId="6" borderId="0" xfId="0" applyFont="1" applyFill="1"/>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xf numFmtId="0" fontId="0" fillId="4" borderId="0" xfId="0" applyFill="1"/>
    <xf numFmtId="0" fontId="5" fillId="7" borderId="0" xfId="0" applyFont="1" applyFill="1"/>
    <xf numFmtId="0" fontId="1" fillId="3" borderId="0" xfId="0" applyFont="1" applyFill="1"/>
    <xf numFmtId="0" fontId="1" fillId="3" borderId="0" xfId="0" applyFont="1" applyFill="1" applyAlignment="1">
      <alignment horizontal="center" vertical="center"/>
    </xf>
    <xf numFmtId="0" fontId="11" fillId="8" borderId="0" xfId="0" applyFont="1" applyFill="1" applyAlignment="1">
      <alignment horizontal="center" vertical="center"/>
    </xf>
    <xf numFmtId="0" fontId="1" fillId="6" borderId="0" xfId="0" applyFont="1"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9" borderId="0" xfId="0" applyFill="1"/>
    <xf numFmtId="16" fontId="0" fillId="0" borderId="0" xfId="0" applyNumberFormat="1"/>
    <xf numFmtId="0" fontId="1" fillId="11" borderId="0" xfId="0" applyFont="1" applyFill="1" applyAlignment="1">
      <alignment horizontal="center" vertical="center"/>
    </xf>
    <xf numFmtId="0" fontId="7" fillId="0" borderId="0" xfId="0" applyFont="1"/>
    <xf numFmtId="0" fontId="9" fillId="0" borderId="0" xfId="0" applyFont="1"/>
    <xf numFmtId="16" fontId="0" fillId="2" borderId="0" xfId="0" applyNumberFormat="1" applyFill="1"/>
    <xf numFmtId="0" fontId="1" fillId="5" borderId="0" xfId="0" applyFont="1" applyFill="1" applyAlignment="1">
      <alignment horizontal="center"/>
    </xf>
    <xf numFmtId="0" fontId="1" fillId="3" borderId="0" xfId="0" applyFont="1" applyFill="1" applyAlignment="1">
      <alignment horizontal="center"/>
    </xf>
    <xf numFmtId="16" fontId="0" fillId="8" borderId="0" xfId="0" applyNumberFormat="1" applyFill="1"/>
    <xf numFmtId="0" fontId="1" fillId="3" borderId="0" xfId="0" applyFont="1" applyFill="1" applyAlignment="1">
      <alignment horizontal="center" vertical="center" wrapText="1"/>
    </xf>
    <xf numFmtId="0" fontId="16" fillId="3" borderId="0" xfId="0" applyFont="1" applyFill="1" applyAlignment="1">
      <alignment horizontal="center" vertical="center"/>
    </xf>
    <xf numFmtId="0" fontId="9" fillId="4" borderId="0" xfId="0" applyFont="1" applyFill="1" applyAlignment="1">
      <alignment horizontal="center"/>
    </xf>
    <xf numFmtId="0" fontId="9" fillId="10" borderId="0" xfId="0" applyFont="1" applyFill="1" applyAlignment="1">
      <alignment horizontal="center" vertical="center"/>
    </xf>
    <xf numFmtId="0" fontId="2" fillId="13" borderId="0" xfId="0" applyFont="1" applyFill="1" applyAlignment="1">
      <alignment horizontal="center" vertical="center"/>
    </xf>
    <xf numFmtId="0" fontId="1" fillId="0" borderId="0" xfId="0" applyFont="1" applyAlignment="1">
      <alignment horizontal="center" vertical="center"/>
    </xf>
    <xf numFmtId="0" fontId="1" fillId="5" borderId="0" xfId="0" applyFont="1" applyFill="1" applyAlignment="1">
      <alignment horizontal="center" vertical="center"/>
    </xf>
    <xf numFmtId="0" fontId="1" fillId="12" borderId="0" xfId="0" applyFont="1" applyFill="1"/>
    <xf numFmtId="0" fontId="13" fillId="0" borderId="0" xfId="0" applyFont="1"/>
    <xf numFmtId="0" fontId="10" fillId="0" borderId="0" xfId="0" applyFont="1"/>
    <xf numFmtId="0" fontId="17" fillId="0" borderId="0" xfId="0" applyFont="1"/>
    <xf numFmtId="0" fontId="8" fillId="0" borderId="0" xfId="0" applyFont="1"/>
    <xf numFmtId="0" fontId="8" fillId="0" borderId="0" xfId="0" applyFont="1" applyAlignment="1">
      <alignment horizontal="center" vertical="center"/>
    </xf>
    <xf numFmtId="0" fontId="9" fillId="2" borderId="0" xfId="0" applyFont="1" applyFill="1"/>
    <xf numFmtId="0" fontId="13" fillId="2" borderId="0" xfId="0" applyFont="1" applyFill="1"/>
    <xf numFmtId="0" fontId="0" fillId="14" borderId="0" xfId="0" applyFill="1"/>
    <xf numFmtId="0" fontId="9" fillId="14" borderId="0" xfId="0" applyFont="1" applyFill="1"/>
    <xf numFmtId="0" fontId="0" fillId="14" borderId="0" xfId="0" applyFill="1" applyAlignment="1">
      <alignment horizontal="center" vertical="center"/>
    </xf>
    <xf numFmtId="0" fontId="14" fillId="14" borderId="0" xfId="0" applyFont="1" applyFill="1"/>
    <xf numFmtId="0" fontId="7" fillId="14" borderId="0" xfId="0" applyFont="1" applyFill="1"/>
    <xf numFmtId="0" fontId="0" fillId="14" borderId="0" xfId="0" applyFill="1" applyAlignment="1">
      <alignment horizontal="center"/>
    </xf>
    <xf numFmtId="0" fontId="9" fillId="14" borderId="0" xfId="0" applyFont="1" applyFill="1" applyAlignment="1">
      <alignment horizontal="center" vertical="center"/>
    </xf>
    <xf numFmtId="0" fontId="12" fillId="14" borderId="0" xfId="0" applyFont="1" applyFill="1" applyAlignment="1">
      <alignment horizontal="center" vertical="center"/>
    </xf>
    <xf numFmtId="0" fontId="12" fillId="14" borderId="0" xfId="0" applyFont="1" applyFill="1"/>
    <xf numFmtId="0" fontId="0" fillId="15" borderId="0" xfId="0" applyFill="1"/>
    <xf numFmtId="0" fontId="7" fillId="15" borderId="0" xfId="0" applyFont="1" applyFill="1"/>
    <xf numFmtId="0" fontId="12" fillId="15" borderId="0" xfId="0" applyFont="1" applyFill="1"/>
    <xf numFmtId="0" fontId="0" fillId="16" borderId="0" xfId="0" applyFill="1"/>
    <xf numFmtId="0" fontId="18" fillId="4" borderId="0" xfId="0" applyFont="1" applyFill="1" applyAlignment="1">
      <alignment horizontal="center" vertical="center"/>
    </xf>
    <xf numFmtId="0" fontId="9" fillId="16" borderId="0" xfId="0" applyFont="1" applyFill="1"/>
    <xf numFmtId="0" fontId="0" fillId="16" borderId="0" xfId="0" applyFill="1" applyAlignment="1">
      <alignment horizontal="center" vertical="center"/>
    </xf>
    <xf numFmtId="0" fontId="9" fillId="16" borderId="0" xfId="0" applyFont="1" applyFill="1" applyAlignment="1">
      <alignment horizontal="center" vertical="center"/>
    </xf>
    <xf numFmtId="0" fontId="0" fillId="0" borderId="1" xfId="0" applyBorder="1" applyAlignment="1">
      <alignment horizontal="center" vertical="center"/>
    </xf>
    <xf numFmtId="0" fontId="0" fillId="8" borderId="0" xfId="0" applyFill="1"/>
    <xf numFmtId="0" fontId="1" fillId="6" borderId="0" xfId="0" applyFont="1" applyFill="1" applyAlignment="1">
      <alignment horizontal="center"/>
    </xf>
    <xf numFmtId="0" fontId="0" fillId="0" borderId="0" xfId="0" applyAlignment="1">
      <alignment horizontal="center"/>
    </xf>
    <xf numFmtId="16" fontId="0" fillId="0" borderId="0" xfId="0" applyNumberFormat="1" applyAlignment="1">
      <alignment horizontal="center" vertical="center"/>
    </xf>
    <xf numFmtId="16" fontId="15" fillId="0" borderId="0" xfId="0" applyNumberFormat="1" applyFont="1" applyAlignment="1">
      <alignment horizontal="center" vertical="center"/>
    </xf>
  </cellXfs>
  <cellStyles count="1">
    <cellStyle name="عادي" xfId="0" builtinId="0"/>
  </cellStyles>
  <dxfs count="47">
    <dxf>
      <font>
        <color rgb="FF9C0006"/>
      </font>
      <fill>
        <patternFill>
          <bgColor rgb="FFFFC7CE"/>
        </patternFill>
      </fill>
    </dxf>
    <dxf>
      <fill>
        <patternFill>
          <fgColor theme="1"/>
          <bgColor rgb="FFFF0000"/>
        </patternFill>
      </fill>
    </dxf>
    <dxf>
      <fill>
        <patternFill>
          <bgColor rgb="FFFFC7CE"/>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dxf>
    <dxf>
      <numFmt numFmtId="21" formatCode="dd/mmm"/>
      <fill>
        <patternFill patternType="none">
          <fgColor indexed="64"/>
          <bgColor auto="1"/>
        </patternFill>
      </fill>
    </dxf>
    <dxf>
      <numFmt numFmtId="21" formatCode="dd/mmm"/>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solid">
          <fgColor indexed="64"/>
          <bgColor theme="4" tint="0.79998168889431442"/>
        </patternFill>
      </fill>
    </dxf>
    <dxf>
      <fill>
        <patternFill patternType="none">
          <fgColor indexed="64"/>
          <bgColor indexed="65"/>
        </patternFill>
      </fill>
    </dxf>
    <dxf>
      <font>
        <strike val="0"/>
        <outline val="0"/>
        <shadow val="0"/>
        <u val="none"/>
        <vertAlign val="baseline"/>
        <color theme="1"/>
        <name val="Arial"/>
        <family val="2"/>
        <scheme val="minor"/>
      </font>
      <fill>
        <patternFill patternType="solid">
          <fgColor indexed="64"/>
          <bgColor theme="4" tint="0.79998168889431442"/>
        </patternFill>
      </fill>
    </dxf>
    <dxf>
      <fill>
        <patternFill patternType="none">
          <fgColor indexed="64"/>
          <bgColor indexed="65"/>
        </patternFill>
      </fill>
    </dxf>
    <dxf>
      <fill>
        <patternFill patternType="solid">
          <fgColor indexed="64"/>
          <bgColor theme="0" tint="-4.9989318521683403E-2"/>
        </patternFill>
      </fill>
    </dxf>
    <dxf>
      <fill>
        <patternFill patternType="none">
          <fgColor indexed="64"/>
          <bgColor indexed="65"/>
        </patternFill>
      </fill>
    </dxf>
    <dxf>
      <fill>
        <patternFill patternType="solid">
          <fgColor indexed="64"/>
          <bgColor theme="4" tint="0.79998168889431442"/>
        </patternFill>
      </fill>
      <alignment horizontal="center" vertical="center" textRotation="0" wrapText="0" indent="0" justifyLastLine="0" shrinkToFit="0" readingOrder="0"/>
    </dxf>
    <dxf>
      <fill>
        <patternFill patternType="none">
          <fgColor indexed="64"/>
          <bgColor indexed="65"/>
        </patternFill>
      </fill>
    </dxf>
    <dxf>
      <fill>
        <patternFill patternType="solid">
          <fgColor indexed="64"/>
          <bgColor theme="0" tint="-4.9989318521683403E-2"/>
        </patternFill>
      </fill>
    </dxf>
    <dxf>
      <fill>
        <patternFill patternType="none">
          <fgColor indexed="64"/>
          <bgColor indexed="65"/>
        </patternFill>
      </fill>
    </dxf>
    <dxf>
      <numFmt numFmtId="21" formatCode="dd/mmm"/>
    </dxf>
    <dxf>
      <numFmt numFmtId="21" formatCode="dd/mmm"/>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760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ورقة1!$J$1</c:f>
              <c:strCache>
                <c:ptCount val="1"/>
                <c:pt idx="0">
                  <c:v>abdulelah</c:v>
                </c:pt>
              </c:strCache>
            </c:strRef>
          </c:tx>
          <c:spPr>
            <a:solidFill>
              <a:schemeClr val="accent1"/>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ورقة1!$J$2:$J$31</c:f>
              <c:numCache>
                <c:formatCode>General</c:formatCode>
                <c:ptCount val="30"/>
                <c:pt idx="0">
                  <c:v>30</c:v>
                </c:pt>
                <c:pt idx="3">
                  <c:v>150</c:v>
                </c:pt>
                <c:pt idx="7">
                  <c:v>20</c:v>
                </c:pt>
                <c:pt idx="8">
                  <c:v>735.71</c:v>
                </c:pt>
                <c:pt idx="15">
                  <c:v>100</c:v>
                </c:pt>
                <c:pt idx="18">
                  <c:v>50</c:v>
                </c:pt>
              </c:numCache>
            </c:numRef>
          </c:val>
          <c:extLst>
            <c:ext xmlns:c16="http://schemas.microsoft.com/office/drawing/2014/chart" uri="{C3380CC4-5D6E-409C-BE32-E72D297353CC}">
              <c16:uniqueId val="{00000000-3B3C-44E3-B847-ED051F127BF6}"/>
            </c:ext>
          </c:extLst>
        </c:ser>
        <c:ser>
          <c:idx val="1"/>
          <c:order val="1"/>
          <c:tx>
            <c:strRef>
              <c:f>ورقة1!$K$1</c:f>
              <c:strCache>
                <c:ptCount val="1"/>
                <c:pt idx="0">
                  <c:v>ameen</c:v>
                </c:pt>
              </c:strCache>
            </c:strRef>
          </c:tx>
          <c:spPr>
            <a:solidFill>
              <a:schemeClr val="accent2"/>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ورقة1!$K$2:$K$31</c:f>
              <c:numCache>
                <c:formatCode>General</c:formatCode>
                <c:ptCount val="30"/>
                <c:pt idx="8">
                  <c:v>1000</c:v>
                </c:pt>
                <c:pt idx="15">
                  <c:v>500</c:v>
                </c:pt>
                <c:pt idx="22">
                  <c:v>200</c:v>
                </c:pt>
              </c:numCache>
            </c:numRef>
          </c:val>
          <c:extLst>
            <c:ext xmlns:c16="http://schemas.microsoft.com/office/drawing/2014/chart" uri="{C3380CC4-5D6E-409C-BE32-E72D297353CC}">
              <c16:uniqueId val="{00000001-3B3C-44E3-B847-ED051F127BF6}"/>
            </c:ext>
          </c:extLst>
        </c:ser>
        <c:ser>
          <c:idx val="2"/>
          <c:order val="2"/>
          <c:tx>
            <c:strRef>
              <c:f>ورقة1!#REF!</c:f>
              <c:strCache>
                <c:ptCount val="1"/>
                <c:pt idx="0">
                  <c:v>سامي</c:v>
                </c:pt>
              </c:strCache>
            </c:strRef>
          </c:tx>
          <c:spPr>
            <a:solidFill>
              <a:schemeClr val="accent3"/>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ورقة1!#REF!</c:f>
              <c:numCache>
                <c:formatCode>General</c:formatCode>
                <c:ptCount val="30"/>
                <c:pt idx="5">
                  <c:v>300</c:v>
                </c:pt>
                <c:pt idx="11">
                  <c:v>50</c:v>
                </c:pt>
                <c:pt idx="12">
                  <c:v>150</c:v>
                </c:pt>
                <c:pt idx="17">
                  <c:v>50</c:v>
                </c:pt>
                <c:pt idx="19">
                  <c:v>350</c:v>
                </c:pt>
                <c:pt idx="23">
                  <c:v>300</c:v>
                </c:pt>
              </c:numCache>
            </c:numRef>
          </c:val>
          <c:extLst>
            <c:ext xmlns:c16="http://schemas.microsoft.com/office/drawing/2014/chart" uri="{C3380CC4-5D6E-409C-BE32-E72D297353CC}">
              <c16:uniqueId val="{00000002-3B3C-44E3-B847-ED051F127BF6}"/>
            </c:ext>
          </c:extLst>
        </c:ser>
        <c:ser>
          <c:idx val="3"/>
          <c:order val="3"/>
          <c:tx>
            <c:strRef>
              <c:f>ورقة1!$L$1</c:f>
              <c:strCache>
                <c:ptCount val="1"/>
                <c:pt idx="0">
                  <c:v>samer i</c:v>
                </c:pt>
              </c:strCache>
            </c:strRef>
          </c:tx>
          <c:spPr>
            <a:solidFill>
              <a:schemeClr val="accent4"/>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ورقة1!$L$2:$L$31</c:f>
              <c:numCache>
                <c:formatCode>General</c:formatCode>
                <c:ptCount val="30"/>
                <c:pt idx="5">
                  <c:v>750</c:v>
                </c:pt>
                <c:pt idx="8">
                  <c:v>35.71</c:v>
                </c:pt>
                <c:pt idx="15">
                  <c:v>200</c:v>
                </c:pt>
              </c:numCache>
            </c:numRef>
          </c:val>
          <c:extLst>
            <c:ext xmlns:c16="http://schemas.microsoft.com/office/drawing/2014/chart" uri="{C3380CC4-5D6E-409C-BE32-E72D297353CC}">
              <c16:uniqueId val="{00000003-3B3C-44E3-B847-ED051F127BF6}"/>
            </c:ext>
          </c:extLst>
        </c:ser>
        <c:ser>
          <c:idx val="4"/>
          <c:order val="4"/>
          <c:tx>
            <c:strRef>
              <c:f>ورقة1!#REF!</c:f>
              <c:strCache>
                <c:ptCount val="1"/>
                <c:pt idx="0">
                  <c:v>#REF!</c:v>
                </c:pt>
              </c:strCache>
            </c:strRef>
          </c:tx>
          <c:spPr>
            <a:solidFill>
              <a:schemeClr val="accent5"/>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ورقة1!#REF!</c:f>
              <c:numCache>
                <c:formatCode>General</c:formatCode>
                <c:ptCount val="1"/>
                <c:pt idx="0">
                  <c:v>1</c:v>
                </c:pt>
              </c:numCache>
            </c:numRef>
          </c:val>
          <c:extLst>
            <c:ext xmlns:c16="http://schemas.microsoft.com/office/drawing/2014/chart" uri="{C3380CC4-5D6E-409C-BE32-E72D297353CC}">
              <c16:uniqueId val="{00000004-3B3C-44E3-B847-ED051F127BF6}"/>
            </c:ext>
          </c:extLst>
        </c:ser>
        <c:ser>
          <c:idx val="5"/>
          <c:order val="5"/>
          <c:tx>
            <c:strRef>
              <c:f>ورقة1!$M$1</c:f>
              <c:strCache>
                <c:ptCount val="1"/>
                <c:pt idx="0">
                  <c:v>wesam</c:v>
                </c:pt>
              </c:strCache>
            </c:strRef>
          </c:tx>
          <c:spPr>
            <a:solidFill>
              <a:schemeClr val="accent6"/>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ورقة1!$M$2:$M$31</c:f>
              <c:numCache>
                <c:formatCode>General</c:formatCode>
                <c:ptCount val="30"/>
                <c:pt idx="3">
                  <c:v>109.48</c:v>
                </c:pt>
                <c:pt idx="5">
                  <c:v>750</c:v>
                </c:pt>
                <c:pt idx="8">
                  <c:v>535.71</c:v>
                </c:pt>
                <c:pt idx="13">
                  <c:v>50</c:v>
                </c:pt>
                <c:pt idx="15">
                  <c:v>700</c:v>
                </c:pt>
                <c:pt idx="21">
                  <c:v>50</c:v>
                </c:pt>
                <c:pt idx="22">
                  <c:v>400</c:v>
                </c:pt>
              </c:numCache>
            </c:numRef>
          </c:val>
          <c:extLst>
            <c:ext xmlns:c16="http://schemas.microsoft.com/office/drawing/2014/chart" uri="{C3380CC4-5D6E-409C-BE32-E72D297353CC}">
              <c16:uniqueId val="{00000005-3B3C-44E3-B847-ED051F127BF6}"/>
            </c:ext>
          </c:extLst>
        </c:ser>
        <c:ser>
          <c:idx val="6"/>
          <c:order val="6"/>
          <c:tx>
            <c:strRef>
              <c:f>ورقة1!#REF!</c:f>
              <c:strCache>
                <c:ptCount val="1"/>
                <c:pt idx="0">
                  <c:v>#REF!</c:v>
                </c:pt>
              </c:strCache>
            </c:strRef>
          </c:tx>
          <c:spPr>
            <a:solidFill>
              <a:schemeClr val="accent1">
                <a:lumMod val="60000"/>
              </a:schemeClr>
            </a:solidFill>
            <a:ln>
              <a:noFill/>
            </a:ln>
            <a:effectLst/>
          </c:spPr>
          <c:invertIfNegative val="0"/>
          <c:cat>
            <c:multiLvlStrRef>
              <c:f>ورقة1!$A$2:$I$31</c:f>
              <c:multiLvlStrCache>
                <c:ptCount val="30"/>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lvl>
                  <c:pt idx="5">
                    <c:v>750</c:v>
                  </c:pt>
                  <c:pt idx="8">
                    <c:v>1635.71</c:v>
                  </c:pt>
                  <c:pt idx="15">
                    <c:v>500</c:v>
                  </c:pt>
                  <c:pt idx="22">
                    <c:v>400</c:v>
                  </c:pt>
                </c:lvl>
                <c:lvl>
                  <c:pt idx="7">
                    <c:v>100</c:v>
                  </c:pt>
                  <c:pt idx="8">
                    <c:v>535.71</c:v>
                  </c:pt>
                  <c:pt idx="12">
                    <c:v>150</c:v>
                  </c:pt>
                  <c:pt idx="13">
                    <c:v>650</c:v>
                  </c:pt>
                  <c:pt idx="15">
                    <c:v>400</c:v>
                  </c:pt>
                  <c:pt idx="20">
                    <c:v>200</c:v>
                  </c:pt>
                  <c:pt idx="22">
                    <c:v>500</c:v>
                  </c:pt>
                </c:lvl>
                <c:lvl>
                  <c:pt idx="0">
                    <c:v>1903.74</c:v>
                  </c:pt>
                  <c:pt idx="3">
                    <c:v>3000</c:v>
                  </c:pt>
                  <c:pt idx="5">
                    <c:v>520</c:v>
                  </c:pt>
                  <c:pt idx="6">
                    <c:v>1200</c:v>
                  </c:pt>
                  <c:pt idx="7">
                    <c:v>100</c:v>
                  </c:pt>
                  <c:pt idx="8">
                    <c:v>335.71</c:v>
                  </c:pt>
                  <c:pt idx="11">
                    <c:v>50</c:v>
                  </c:pt>
                  <c:pt idx="12">
                    <c:v>50</c:v>
                  </c:pt>
                  <c:pt idx="13">
                    <c:v>700</c:v>
                  </c:pt>
                  <c:pt idx="14">
                    <c:v>35</c:v>
                  </c:pt>
                  <c:pt idx="15">
                    <c:v>100</c:v>
                  </c:pt>
                  <c:pt idx="17">
                    <c:v>70</c:v>
                  </c:pt>
                  <c:pt idx="19">
                    <c:v>250</c:v>
                  </c:pt>
                  <c:pt idx="20">
                    <c:v>240</c:v>
                  </c:pt>
                  <c:pt idx="21">
                    <c:v>50</c:v>
                  </c:pt>
                  <c:pt idx="22">
                    <c:v>215</c:v>
                  </c:pt>
                  <c:pt idx="24">
                    <c:v>10</c:v>
                  </c:pt>
                </c:lvl>
                <c:lvl>
                  <c:pt idx="8">
                    <c:v>285.71</c:v>
                  </c:pt>
                  <c:pt idx="15">
                    <c:v>700</c:v>
                  </c:pt>
                  <c:pt idx="22">
                    <c:v>500</c:v>
                  </c:pt>
                </c:lvl>
                <c:lvl>
                  <c:pt idx="0">
                    <c:v>250</c:v>
                  </c:pt>
                  <c:pt idx="1">
                    <c:v>200</c:v>
                  </c:pt>
                  <c:pt idx="4">
                    <c:v>100</c:v>
                  </c:pt>
                  <c:pt idx="5">
                    <c:v>750</c:v>
                  </c:pt>
                  <c:pt idx="6">
                    <c:v>500</c:v>
                  </c:pt>
                  <c:pt idx="7">
                    <c:v>100</c:v>
                  </c:pt>
                  <c:pt idx="8">
                    <c:v>1685.71</c:v>
                  </c:pt>
                  <c:pt idx="12">
                    <c:v>100</c:v>
                  </c:pt>
                  <c:pt idx="13">
                    <c:v>132.26</c:v>
                  </c:pt>
                  <c:pt idx="15">
                    <c:v>100</c:v>
                  </c:pt>
                  <c:pt idx="17">
                    <c:v>126</c:v>
                  </c:pt>
                  <c:pt idx="18">
                    <c:v>100</c:v>
                  </c:pt>
                  <c:pt idx="19">
                    <c:v>150</c:v>
                  </c:pt>
                  <c:pt idx="21">
                    <c:v>50</c:v>
                  </c:pt>
                  <c:pt idx="22">
                    <c:v>300</c:v>
                  </c:pt>
                  <c:pt idx="24">
                    <c:v>100</c:v>
                  </c:pt>
                </c:lvl>
                <c:lvl>
                  <c:pt idx="0">
                    <c:v>50</c:v>
                  </c:pt>
                  <c:pt idx="5">
                    <c:v>750</c:v>
                  </c:pt>
                  <c:pt idx="6">
                    <c:v>1250</c:v>
                  </c:pt>
                  <c:pt idx="7">
                    <c:v>50</c:v>
                  </c:pt>
                  <c:pt idx="8">
                    <c:v>335.71</c:v>
                  </c:pt>
                  <c:pt idx="10">
                    <c:v>50</c:v>
                  </c:pt>
                  <c:pt idx="11">
                    <c:v>50</c:v>
                  </c:pt>
                  <c:pt idx="12">
                    <c:v>100</c:v>
                  </c:pt>
                  <c:pt idx="13">
                    <c:v>650</c:v>
                  </c:pt>
                  <c:pt idx="15">
                    <c:v>250</c:v>
                  </c:pt>
                  <c:pt idx="17">
                    <c:v>30</c:v>
                  </c:pt>
                  <c:pt idx="18">
                    <c:v>50</c:v>
                  </c:pt>
                  <c:pt idx="20">
                    <c:v>110</c:v>
                  </c:pt>
                  <c:pt idx="21">
                    <c:v>60</c:v>
                  </c:pt>
                  <c:pt idx="22">
                    <c:v>200</c:v>
                  </c:pt>
                </c:lvl>
                <c:lvl>
                  <c:pt idx="5">
                    <c:v>375</c:v>
                  </c:pt>
                  <c:pt idx="6">
                    <c:v>375</c:v>
                  </c:pt>
                  <c:pt idx="8">
                    <c:v>385.71</c:v>
                  </c:pt>
                  <c:pt idx="12">
                    <c:v>600</c:v>
                  </c:pt>
                  <c:pt idx="14">
                    <c:v>106</c:v>
                  </c:pt>
                  <c:pt idx="15">
                    <c:v>550</c:v>
                  </c:pt>
                  <c:pt idx="18">
                    <c:v>200</c:v>
                  </c:pt>
                  <c:pt idx="22">
                    <c:v>400</c:v>
                  </c:pt>
                  <c:pt idx="24">
                    <c:v>35</c:v>
                  </c:pt>
                </c:lvl>
                <c:lvl>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ورقة1!#REF!</c:f>
              <c:numCache>
                <c:formatCode>General</c:formatCode>
                <c:ptCount val="1"/>
                <c:pt idx="0">
                  <c:v>1</c:v>
                </c:pt>
              </c:numCache>
            </c:numRef>
          </c:val>
          <c:extLst>
            <c:ext xmlns:c16="http://schemas.microsoft.com/office/drawing/2014/chart" uri="{C3380CC4-5D6E-409C-BE32-E72D297353CC}">
              <c16:uniqueId val="{00000006-3B3C-44E3-B847-ED051F127BF6}"/>
            </c:ext>
          </c:extLst>
        </c:ser>
        <c:dLbls>
          <c:showLegendKey val="0"/>
          <c:showVal val="0"/>
          <c:showCatName val="0"/>
          <c:showSerName val="0"/>
          <c:showPercent val="0"/>
          <c:showBubbleSize val="0"/>
        </c:dLbls>
        <c:gapWidth val="219"/>
        <c:overlap val="-27"/>
        <c:axId val="299904256"/>
        <c:axId val="1327806528"/>
      </c:barChart>
      <c:catAx>
        <c:axId val="2999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27806528"/>
        <c:crosses val="autoZero"/>
        <c:auto val="1"/>
        <c:lblAlgn val="ctr"/>
        <c:lblOffset val="100"/>
        <c:noMultiLvlLbl val="0"/>
      </c:catAx>
      <c:valAx>
        <c:axId val="132780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90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FE71490-B067-4D5C-9878-AC79470C3D2D}">
  <sheetPr codeName="مخطط2"/>
  <sheetViews>
    <sheetView zoomScale="79"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58114557" cy="37955316"/>
    <xdr:graphicFrame macro="">
      <xdr:nvGraphicFramePr>
        <xdr:cNvPr id="2" name="مخطط 1">
          <a:extLst>
            <a:ext uri="{FF2B5EF4-FFF2-40B4-BE49-F238E27FC236}">
              <a16:creationId xmlns:a16="http://schemas.microsoft.com/office/drawing/2014/main" id="{7B8395AB-820B-F197-CF9E-A31DD13A569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Fut Abd" id="{2A37FB36-686A-4E2D-80DD-FF2A12DF4263}" userId="98ea0cd7aab4f1fb" providerId="Windows Live"/>
  <person displayName="A" id="{58B860D6-0B45-4D13-BFB1-FF47055B2BB5}" userId="S::dd52@QuadClouds.onmicrosoft.com::b7d8920b-3ce6-4d86-8b8e-8873cd508a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8CBA3A-5512-460D-B773-5DABB0E16099}" name="الجدول1" displayName="الجدول1" ref="A2:U32" headerRowCount="0" totalsRowShown="0" headerRowDxfId="46" dataDxfId="45">
  <tableColumns count="21">
    <tableColumn id="1" xr3:uid="{4833D918-3E57-44BD-915B-DD91303766ED}" name="عمود1" headerRowDxfId="44" dataDxfId="43"/>
    <tableColumn id="2" xr3:uid="{7B3FF86C-C28D-42DF-BD01-A4FE73ACE494}" name="عمود2" headerRowDxfId="42" dataDxfId="41"/>
    <tableColumn id="3" xr3:uid="{31480497-3B1A-4412-82FD-B7918C79C323}" name="عمود3" headerRowDxfId="40" dataDxfId="39"/>
    <tableColumn id="4" xr3:uid="{6D31A300-17B9-4587-9917-D67D3A1FAA21}" name="عمود4" headerRowDxfId="38" dataDxfId="37"/>
    <tableColumn id="5" xr3:uid="{6443B874-742F-4A1C-A578-E3765B833858}" name="عمود5" headerRowDxfId="36" dataDxfId="35"/>
    <tableColumn id="6" xr3:uid="{E9F26C06-1DF6-40F3-9147-654335FD38CD}" name="عمود6" headerRowDxfId="34" dataDxfId="33"/>
    <tableColumn id="7" xr3:uid="{270BCF83-53C5-4720-9A1E-9C65C6D866DD}" name="عمود7" headerRowDxfId="32" dataDxfId="31"/>
    <tableColumn id="8" xr3:uid="{3222AD16-160E-41A8-B516-706882EAB89A}" name="عمود8" headerRowDxfId="30" dataDxfId="29"/>
    <tableColumn id="9" xr3:uid="{AF448870-039E-41DC-9F7B-669D47F6ABF9}" name="عمود9" headerRowDxfId="28" dataDxfId="27">
      <calculatedColumnFormula>+A3</calculatedColumnFormula>
    </tableColumn>
    <tableColumn id="10" xr3:uid="{8343A785-FE37-4FCF-AE05-71F27707D011}" name="عمود10" headerRowDxfId="26" dataDxfId="25"/>
    <tableColumn id="11" xr3:uid="{B108BFD9-645F-4989-8F2D-A6EBFBF1DEFA}" name="عمود11" headerRowDxfId="24" dataDxfId="23"/>
    <tableColumn id="12" xr3:uid="{33650B15-51C4-49E2-8196-1B276C844F8B}" name="عمود12" headerRowDxfId="22" dataDxfId="21"/>
    <tableColumn id="13" xr3:uid="{18EA44B3-E4E0-49F3-A69A-5EAA7AE41E30}" name="عمود13" headerRowDxfId="20" dataDxfId="19"/>
    <tableColumn id="14" xr3:uid="{8D4F979F-C562-4AEF-BFCA-6E8EF825EB72}" name="عمود14" headerRowDxfId="18" dataDxfId="17"/>
    <tableColumn id="15" xr3:uid="{EFB0E8DC-CFAC-4645-8F85-24AF63D1C63B}" name="عمود15" headerRowDxfId="16" dataDxfId="15"/>
    <tableColumn id="16" xr3:uid="{9ECE0C0A-FF62-46E6-85E8-C3CB68176A84}" name="عمود16" headerRowDxfId="14" dataDxfId="13"/>
    <tableColumn id="18" xr3:uid="{F5526E9F-AD15-43BA-951A-7976A86F572D}" name="عمود18" headerRowDxfId="12" dataDxfId="11"/>
    <tableColumn id="19" xr3:uid="{3AF7B6A2-514F-4540-9C54-C99E65C6E6DB}" name="عمود19" headerRowDxfId="10" dataDxfId="9"/>
    <tableColumn id="20" xr3:uid="{97E00850-7A44-4BE3-8DF5-CFA90C6230F4}" name="عمود20" headerRowDxfId="8" dataDxfId="7"/>
    <tableColumn id="21" xr3:uid="{FD53C09D-44A2-4510-A96B-A701193735BC}" name="عمود21" headerRowDxfId="6" dataDxfId="5"/>
    <tableColumn id="17" xr3:uid="{59CD8AD4-6BBB-472E-B26E-3011EF1B4AFD}" name="عمود17" headerRowDxfId="4" dataDxfId="3"/>
  </tableColumns>
  <tableStyleInfo name="TableStyleLight8"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6-04-04T08:37:08.49" personId="{58B860D6-0B45-4D13-BFB1-FF47055B2BB5}" id="{A501EA2B-A7F7-4AA5-9D4E-16E890353B84}">
    <text>مديونيات شهر 3</text>
  </threadedComment>
  <threadedComment ref="F5" dT="2026-04-04T08:36:38.01" personId="{58B860D6-0B45-4D13-BFB1-FF47055B2BB5}" id="{053E3374-A941-4425-BEA2-BD322EC3E46C}">
    <text>سلفة 1100 + ديون ابوعلي نص 1900</text>
  </threadedComment>
  <threadedComment ref="F8" dT="2026-04-09T06:14:57.39" personId="{58B860D6-0B45-4D13-BFB1-FF47055B2BB5}" id="{75608FF2-3075-452B-AE83-321CC302886C}">
    <text>دين ورشة</text>
  </threadedComment>
  <threadedComment ref="P10" dT="2026-04-13T09:39:48.77" personId="{58B860D6-0B45-4D13-BFB1-FF47055B2BB5}" id="{59E96417-C488-414C-B333-5E8432E1542E}">
    <text>سلفة تحويل + غداء</text>
  </threadedComment>
  <threadedComment ref="R10" dT="2026-04-16T10:18:02.76" personId="{58B860D6-0B45-4D13-BFB1-FF47055B2BB5}" id="{7D5C8E9C-844A-45F2-AEC7-F3760C8C3FDA}">
    <text xml:space="preserve">رجيع طبة رديتر انوفا 80
</text>
  </threadedComment>
  <threadedComment ref="F22" dT="2026-04-23T07:05:17.30" personId="{2A37FB36-686A-4E2D-80DD-FF2A12DF4263}" id="{5F4C2469-C911-407B-AC23-486A3D18408E}">
    <text>حسم مخالفة مرورية 225</text>
  </threadedComment>
  <threadedComment ref="B36" dT="2026-02-03T08:35:19.42" personId="{58B860D6-0B45-4D13-BFB1-FF47055B2BB5}" id="{1F91E0B7-1447-4AF5-8C4B-8A571C44245A}">
    <text>استرجاع راتب كاش 115</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ورقة1">
    <pageSetUpPr fitToPage="1"/>
  </sheetPr>
  <dimension ref="A1:Y42"/>
  <sheetViews>
    <sheetView rightToLeft="1" tabSelected="1" zoomScale="70" zoomScaleNormal="70" workbookViewId="0">
      <selection activeCell="F21" sqref="F21"/>
    </sheetView>
  </sheetViews>
  <sheetFormatPr defaultRowHeight="14.25" x14ac:dyDescent="0.2"/>
  <cols>
    <col min="1" max="1" width="15.625" customWidth="1"/>
    <col min="5" max="5" width="14" customWidth="1"/>
    <col min="6" max="6" width="13.875" bestFit="1" customWidth="1"/>
    <col min="8" max="8" width="9.25" customWidth="1"/>
    <col min="9" max="9" width="9.75" style="2" customWidth="1"/>
    <col min="11" max="12" width="9" customWidth="1"/>
    <col min="13" max="13" width="9.875" customWidth="1"/>
    <col min="14" max="14" width="9" customWidth="1"/>
    <col min="15" max="15" width="12" customWidth="1"/>
    <col min="16" max="16" width="9" customWidth="1"/>
    <col min="17" max="17" width="11.25" customWidth="1"/>
    <col min="19" max="20" width="8.625" customWidth="1"/>
    <col min="21" max="21" width="10.375" customWidth="1"/>
    <col min="22" max="22" width="11.625" customWidth="1"/>
    <col min="23" max="23" width="9.375" customWidth="1"/>
    <col min="24" max="24" width="10.875" customWidth="1"/>
    <col min="25" max="25" width="12.375" customWidth="1"/>
  </cols>
  <sheetData>
    <row r="1" spans="1:21" ht="24" customHeight="1" x14ac:dyDescent="0.2">
      <c r="A1" s="1" t="s">
        <v>0</v>
      </c>
      <c r="B1" s="19" t="s">
        <v>13</v>
      </c>
      <c r="C1" s="37" t="s">
        <v>14</v>
      </c>
      <c r="D1" s="19" t="s">
        <v>15</v>
      </c>
      <c r="E1" s="37" t="s">
        <v>33</v>
      </c>
      <c r="F1" s="37" t="s">
        <v>16</v>
      </c>
      <c r="G1" s="17" t="s">
        <v>17</v>
      </c>
      <c r="H1" s="17" t="s">
        <v>28</v>
      </c>
      <c r="I1" s="20" t="s">
        <v>0</v>
      </c>
      <c r="J1" s="17" t="s">
        <v>18</v>
      </c>
      <c r="K1" s="17" t="s">
        <v>23</v>
      </c>
      <c r="L1" s="32" t="s">
        <v>27</v>
      </c>
      <c r="M1" s="17" t="s">
        <v>19</v>
      </c>
      <c r="N1" s="17" t="s">
        <v>20</v>
      </c>
      <c r="O1" s="31" t="s">
        <v>24</v>
      </c>
      <c r="P1" s="21" t="s">
        <v>21</v>
      </c>
      <c r="Q1" s="21" t="s">
        <v>22</v>
      </c>
      <c r="R1" s="21" t="s">
        <v>25</v>
      </c>
      <c r="S1" s="21" t="s">
        <v>29</v>
      </c>
      <c r="T1" s="19" t="s">
        <v>26</v>
      </c>
      <c r="U1" s="63" t="s">
        <v>34</v>
      </c>
    </row>
    <row r="2" spans="1:21" x14ac:dyDescent="0.2">
      <c r="A2" s="23">
        <v>45748</v>
      </c>
      <c r="B2" s="1"/>
      <c r="C2" s="58">
        <v>50</v>
      </c>
      <c r="D2" s="1">
        <v>250</v>
      </c>
      <c r="E2" s="58"/>
      <c r="F2" s="64">
        <v>1903.74</v>
      </c>
      <c r="G2" s="46"/>
      <c r="H2" s="46"/>
      <c r="I2" s="23">
        <f t="shared" ref="I2:I31" si="0">+A2</f>
        <v>45748</v>
      </c>
      <c r="J2" s="48">
        <v>30</v>
      </c>
      <c r="K2" s="64"/>
      <c r="L2" s="64"/>
      <c r="M2" s="64"/>
      <c r="N2" s="46"/>
      <c r="O2" s="64"/>
      <c r="P2" s="55"/>
      <c r="Q2" s="55"/>
      <c r="R2" s="64"/>
      <c r="S2" s="55"/>
      <c r="T2" s="1"/>
      <c r="U2" s="58"/>
    </row>
    <row r="3" spans="1:21" ht="15" customHeight="1" x14ac:dyDescent="0.2">
      <c r="A3" s="23">
        <v>45749</v>
      </c>
      <c r="B3" s="1"/>
      <c r="C3" s="61"/>
      <c r="D3" s="1">
        <v>200</v>
      </c>
      <c r="E3" s="58"/>
      <c r="F3" s="58"/>
      <c r="G3" s="46"/>
      <c r="H3" s="46"/>
      <c r="I3" s="23">
        <f t="shared" si="0"/>
        <v>45749</v>
      </c>
      <c r="J3" s="48"/>
      <c r="K3" s="46"/>
      <c r="L3" s="64"/>
      <c r="M3" s="46"/>
      <c r="N3" s="46"/>
      <c r="O3" s="64"/>
      <c r="P3" s="55"/>
      <c r="Q3" s="55"/>
      <c r="R3" s="55"/>
      <c r="S3" s="55"/>
      <c r="T3" s="1"/>
      <c r="U3" s="58"/>
    </row>
    <row r="4" spans="1:21" x14ac:dyDescent="0.2">
      <c r="A4" s="30">
        <v>45750</v>
      </c>
      <c r="B4" s="1"/>
      <c r="C4" s="61"/>
      <c r="D4" s="1"/>
      <c r="E4" s="58"/>
      <c r="F4" s="58"/>
      <c r="G4" s="46"/>
      <c r="H4" s="46"/>
      <c r="I4" s="30">
        <f t="shared" si="0"/>
        <v>45750</v>
      </c>
      <c r="J4" s="48"/>
      <c r="K4" s="46"/>
      <c r="L4" s="46"/>
      <c r="M4" s="46"/>
      <c r="N4" s="46"/>
      <c r="O4" s="47"/>
      <c r="P4" s="55"/>
      <c r="Q4" s="55"/>
      <c r="R4" s="55"/>
      <c r="S4" s="55"/>
      <c r="T4" s="1"/>
      <c r="U4" s="58"/>
    </row>
    <row r="5" spans="1:21" ht="16.5" customHeight="1" x14ac:dyDescent="0.2">
      <c r="A5" s="23">
        <v>45751</v>
      </c>
      <c r="B5" s="1"/>
      <c r="C5" s="61"/>
      <c r="D5" s="1"/>
      <c r="E5" s="58"/>
      <c r="F5" s="58">
        <f>1900+1100</f>
        <v>3000</v>
      </c>
      <c r="G5" s="64"/>
      <c r="H5" s="46"/>
      <c r="I5" s="23">
        <f t="shared" si="0"/>
        <v>45751</v>
      </c>
      <c r="J5" s="48">
        <v>150</v>
      </c>
      <c r="K5" s="46"/>
      <c r="L5" s="46"/>
      <c r="M5" s="46">
        <v>109.48</v>
      </c>
      <c r="N5" s="46"/>
      <c r="O5" s="47">
        <v>200</v>
      </c>
      <c r="P5" s="55"/>
      <c r="Q5" s="55"/>
      <c r="R5" s="55">
        <v>6.87</v>
      </c>
      <c r="S5" s="55">
        <v>100</v>
      </c>
      <c r="T5" s="1"/>
      <c r="U5" s="58"/>
    </row>
    <row r="6" spans="1:21" ht="19.5" customHeight="1" x14ac:dyDescent="0.25">
      <c r="A6" s="23">
        <v>45752</v>
      </c>
      <c r="B6" s="1"/>
      <c r="C6" s="61"/>
      <c r="D6" s="1">
        <v>100</v>
      </c>
      <c r="E6" s="58"/>
      <c r="F6" s="58"/>
      <c r="G6" s="46"/>
      <c r="H6" s="46"/>
      <c r="I6" s="23">
        <f t="shared" si="0"/>
        <v>45752</v>
      </c>
      <c r="J6" s="48"/>
      <c r="K6" s="49"/>
      <c r="L6" s="46"/>
      <c r="M6" s="46"/>
      <c r="N6" s="46"/>
      <c r="O6" s="46"/>
      <c r="P6" s="55"/>
      <c r="Q6" s="55"/>
      <c r="R6" s="56"/>
      <c r="S6" s="55"/>
      <c r="T6" s="1"/>
      <c r="U6" s="58"/>
    </row>
    <row r="7" spans="1:21" ht="17.25" customHeight="1" x14ac:dyDescent="0.2">
      <c r="A7" s="23">
        <v>45753</v>
      </c>
      <c r="B7" s="1">
        <v>375</v>
      </c>
      <c r="C7" s="61">
        <v>750</v>
      </c>
      <c r="D7" s="1">
        <v>750</v>
      </c>
      <c r="E7" s="58"/>
      <c r="F7" s="58">
        <f>20+500</f>
        <v>520</v>
      </c>
      <c r="G7" s="46"/>
      <c r="H7" s="46">
        <v>750</v>
      </c>
      <c r="I7" s="23">
        <f t="shared" si="0"/>
        <v>45753</v>
      </c>
      <c r="J7" s="48"/>
      <c r="K7" s="64"/>
      <c r="L7" s="46">
        <v>750</v>
      </c>
      <c r="M7" s="46">
        <v>750</v>
      </c>
      <c r="N7" s="46">
        <v>750</v>
      </c>
      <c r="O7" s="46"/>
      <c r="P7" s="64">
        <v>375</v>
      </c>
      <c r="Q7" s="55">
        <v>750</v>
      </c>
      <c r="R7" s="55">
        <f>4+750</f>
        <v>754</v>
      </c>
      <c r="S7" s="55"/>
      <c r="T7" s="1"/>
      <c r="U7" s="58"/>
    </row>
    <row r="8" spans="1:21" ht="16.5" customHeight="1" x14ac:dyDescent="0.2">
      <c r="A8" s="23">
        <v>45754</v>
      </c>
      <c r="B8" s="1">
        <v>375</v>
      </c>
      <c r="C8" s="61">
        <v>1250</v>
      </c>
      <c r="D8" s="1">
        <v>500</v>
      </c>
      <c r="E8" s="58"/>
      <c r="F8" s="58">
        <v>1200</v>
      </c>
      <c r="G8" s="46"/>
      <c r="H8" s="46"/>
      <c r="I8" s="23">
        <f t="shared" si="0"/>
        <v>45754</v>
      </c>
      <c r="J8" s="48"/>
      <c r="K8" s="46"/>
      <c r="L8" s="46"/>
      <c r="M8" s="46"/>
      <c r="N8" s="46">
        <v>1350</v>
      </c>
      <c r="O8" s="46"/>
      <c r="P8" s="55"/>
      <c r="Q8" s="55"/>
      <c r="R8" s="55"/>
      <c r="S8" s="55"/>
      <c r="T8" s="1"/>
      <c r="U8" s="58"/>
    </row>
    <row r="9" spans="1:21" ht="18.75" customHeight="1" x14ac:dyDescent="0.2">
      <c r="A9" s="23">
        <v>45755</v>
      </c>
      <c r="B9" s="1"/>
      <c r="C9" s="61">
        <v>50</v>
      </c>
      <c r="D9" s="1">
        <v>100</v>
      </c>
      <c r="E9" s="58"/>
      <c r="F9" s="58">
        <v>100</v>
      </c>
      <c r="G9" s="46">
        <v>100</v>
      </c>
      <c r="H9" s="46"/>
      <c r="I9" s="23">
        <f t="shared" si="0"/>
        <v>45755</v>
      </c>
      <c r="J9" s="48">
        <v>20</v>
      </c>
      <c r="K9" s="46"/>
      <c r="L9" s="46"/>
      <c r="M9" s="46"/>
      <c r="N9" s="46"/>
      <c r="O9" s="46"/>
      <c r="P9" s="55"/>
      <c r="Q9" s="55"/>
      <c r="R9" s="55"/>
      <c r="S9" s="55"/>
      <c r="T9" s="1"/>
      <c r="U9" s="58"/>
    </row>
    <row r="10" spans="1:21" ht="19.5" customHeight="1" x14ac:dyDescent="0.2">
      <c r="A10" s="23">
        <v>45756</v>
      </c>
      <c r="B10" s="1">
        <v>385.71</v>
      </c>
      <c r="C10" s="61">
        <v>335.71</v>
      </c>
      <c r="D10" s="1">
        <v>1685.71</v>
      </c>
      <c r="E10" s="58">
        <v>285.70999999999998</v>
      </c>
      <c r="F10" s="58">
        <f>250+50+35.71</f>
        <v>335.71</v>
      </c>
      <c r="G10" s="46">
        <v>535.71</v>
      </c>
      <c r="H10" s="46">
        <v>1635.71</v>
      </c>
      <c r="I10" s="23">
        <f t="shared" si="0"/>
        <v>45756</v>
      </c>
      <c r="J10" s="48">
        <f>400+300+35.71</f>
        <v>735.71</v>
      </c>
      <c r="K10" s="46">
        <v>1000</v>
      </c>
      <c r="L10" s="46">
        <v>35.71</v>
      </c>
      <c r="M10" s="46">
        <v>535.71</v>
      </c>
      <c r="N10" s="46">
        <v>150</v>
      </c>
      <c r="O10" s="46"/>
      <c r="P10" s="55">
        <f>200+35.71</f>
        <v>235.71</v>
      </c>
      <c r="Q10" s="55">
        <v>35.71</v>
      </c>
      <c r="R10" s="55">
        <f>385.71+5+80</f>
        <v>470.71</v>
      </c>
      <c r="S10" s="55">
        <v>100</v>
      </c>
      <c r="T10" s="1">
        <v>1235.71</v>
      </c>
      <c r="U10" s="58"/>
    </row>
    <row r="11" spans="1:21" ht="15" customHeight="1" x14ac:dyDescent="0.2">
      <c r="A11" s="30">
        <v>45757</v>
      </c>
      <c r="B11" s="1"/>
      <c r="C11" s="61"/>
      <c r="D11" s="1"/>
      <c r="E11" s="58"/>
      <c r="F11" s="58"/>
      <c r="G11" s="46"/>
      <c r="H11" s="46"/>
      <c r="I11" s="30">
        <f t="shared" si="0"/>
        <v>45757</v>
      </c>
      <c r="J11" s="48"/>
      <c r="K11" s="46"/>
      <c r="L11" s="46"/>
      <c r="M11" s="46"/>
      <c r="N11" s="46"/>
      <c r="O11" s="46"/>
      <c r="P11" s="55"/>
      <c r="Q11" s="55"/>
      <c r="R11" s="55"/>
      <c r="S11" s="55"/>
      <c r="T11" s="1"/>
      <c r="U11" s="58"/>
    </row>
    <row r="12" spans="1:21" ht="15.75" customHeight="1" x14ac:dyDescent="0.2">
      <c r="A12" s="23">
        <v>45758</v>
      </c>
      <c r="B12" s="1"/>
      <c r="C12" s="61">
        <v>50</v>
      </c>
      <c r="D12" s="1"/>
      <c r="E12" s="58"/>
      <c r="F12" s="64"/>
      <c r="G12" s="46"/>
      <c r="H12" s="46"/>
      <c r="I12" s="23">
        <f t="shared" si="0"/>
        <v>45758</v>
      </c>
      <c r="J12" s="48"/>
      <c r="K12" s="46"/>
      <c r="L12" s="46"/>
      <c r="M12" s="46"/>
      <c r="N12" s="46"/>
      <c r="O12" s="46"/>
      <c r="P12" s="55"/>
      <c r="Q12" s="55"/>
      <c r="R12" s="56">
        <v>300</v>
      </c>
      <c r="S12" s="55"/>
      <c r="T12" s="1"/>
      <c r="U12" s="58"/>
    </row>
    <row r="13" spans="1:21" ht="16.5" customHeight="1" x14ac:dyDescent="0.2">
      <c r="A13" s="23">
        <v>45759</v>
      </c>
      <c r="B13" s="64"/>
      <c r="C13" s="61">
        <v>50</v>
      </c>
      <c r="D13" s="1"/>
      <c r="E13" s="58"/>
      <c r="F13" s="58">
        <v>50</v>
      </c>
      <c r="G13" s="46"/>
      <c r="H13" s="46"/>
      <c r="I13" s="23">
        <f t="shared" si="0"/>
        <v>45759</v>
      </c>
      <c r="J13" s="48"/>
      <c r="K13" s="64"/>
      <c r="L13" s="46"/>
      <c r="M13" s="50"/>
      <c r="N13" s="46"/>
      <c r="O13" s="46"/>
      <c r="P13" s="55"/>
      <c r="Q13" s="55"/>
      <c r="R13" s="64"/>
      <c r="S13" s="55"/>
      <c r="T13" s="1"/>
      <c r="U13" s="58"/>
    </row>
    <row r="14" spans="1:21" ht="17.25" customHeight="1" x14ac:dyDescent="0.2">
      <c r="A14" s="23">
        <v>45760</v>
      </c>
      <c r="B14" s="1">
        <v>600</v>
      </c>
      <c r="C14" s="61">
        <v>100</v>
      </c>
      <c r="D14" s="1">
        <v>100</v>
      </c>
      <c r="E14" s="58"/>
      <c r="F14" s="58">
        <v>50</v>
      </c>
      <c r="G14" s="46">
        <v>150</v>
      </c>
      <c r="H14" s="46"/>
      <c r="I14" s="23">
        <f t="shared" si="0"/>
        <v>45760</v>
      </c>
      <c r="J14" s="48"/>
      <c r="K14" s="46"/>
      <c r="L14" s="46"/>
      <c r="M14" s="46"/>
      <c r="N14" s="46"/>
      <c r="O14" s="46"/>
      <c r="P14" s="55"/>
      <c r="Q14" s="55"/>
      <c r="R14" s="55"/>
      <c r="S14" s="55"/>
      <c r="T14" s="1"/>
      <c r="U14" s="58"/>
    </row>
    <row r="15" spans="1:21" ht="18.75" customHeight="1" x14ac:dyDescent="0.2">
      <c r="A15" s="23">
        <v>45761</v>
      </c>
      <c r="B15" s="1"/>
      <c r="C15" s="61">
        <v>650</v>
      </c>
      <c r="D15" s="1">
        <v>132.26</v>
      </c>
      <c r="E15" s="58"/>
      <c r="F15" s="58">
        <v>700</v>
      </c>
      <c r="G15" s="46">
        <v>650</v>
      </c>
      <c r="H15" s="46"/>
      <c r="I15" s="23">
        <f t="shared" si="0"/>
        <v>45761</v>
      </c>
      <c r="J15" s="48"/>
      <c r="K15" s="46"/>
      <c r="L15" s="46"/>
      <c r="M15" s="46">
        <v>50</v>
      </c>
      <c r="N15" s="46"/>
      <c r="O15" s="46"/>
      <c r="P15" s="55"/>
      <c r="Q15" s="55"/>
      <c r="R15" s="56"/>
      <c r="S15" s="55"/>
      <c r="T15" s="1"/>
      <c r="U15" s="58"/>
    </row>
    <row r="16" spans="1:21" x14ac:dyDescent="0.2">
      <c r="A16" s="23">
        <v>45762</v>
      </c>
      <c r="B16" s="1">
        <v>106</v>
      </c>
      <c r="C16" s="61"/>
      <c r="D16" s="1"/>
      <c r="E16" s="58"/>
      <c r="F16" s="58">
        <v>35</v>
      </c>
      <c r="G16" s="46"/>
      <c r="H16" s="46"/>
      <c r="I16" s="23">
        <f t="shared" si="0"/>
        <v>45762</v>
      </c>
      <c r="J16" s="48"/>
      <c r="K16" s="46"/>
      <c r="L16" s="46"/>
      <c r="M16" s="46"/>
      <c r="N16" s="46"/>
      <c r="O16" s="46"/>
      <c r="P16" s="55">
        <v>20</v>
      </c>
      <c r="Q16" s="55"/>
      <c r="R16" s="55">
        <v>18.399999999999999</v>
      </c>
      <c r="S16" s="55"/>
      <c r="T16" s="1"/>
      <c r="U16" s="58"/>
    </row>
    <row r="17" spans="1:25" x14ac:dyDescent="0.2">
      <c r="A17" s="23">
        <v>45763</v>
      </c>
      <c r="B17" s="1">
        <v>550</v>
      </c>
      <c r="C17" s="61">
        <f>50+200</f>
        <v>250</v>
      </c>
      <c r="D17" s="1">
        <v>100</v>
      </c>
      <c r="E17" s="58">
        <v>700</v>
      </c>
      <c r="F17" s="58">
        <v>100</v>
      </c>
      <c r="G17" s="46">
        <v>400</v>
      </c>
      <c r="H17" s="46">
        <v>500</v>
      </c>
      <c r="I17" s="23">
        <f t="shared" si="0"/>
        <v>45763</v>
      </c>
      <c r="J17" s="48">
        <v>100</v>
      </c>
      <c r="K17" s="46">
        <v>500</v>
      </c>
      <c r="L17" s="46">
        <v>200</v>
      </c>
      <c r="M17" s="51">
        <v>700</v>
      </c>
      <c r="N17" s="51">
        <v>250</v>
      </c>
      <c r="O17" s="51"/>
      <c r="P17" s="55">
        <v>250</v>
      </c>
      <c r="Q17" s="55">
        <v>200</v>
      </c>
      <c r="R17" s="55">
        <f>1250+40+650</f>
        <v>1940</v>
      </c>
      <c r="S17" s="55">
        <v>100</v>
      </c>
      <c r="T17" s="1"/>
      <c r="U17" s="58">
        <v>300</v>
      </c>
    </row>
    <row r="18" spans="1:25" x14ac:dyDescent="0.2">
      <c r="A18" s="30">
        <v>45764</v>
      </c>
      <c r="B18" s="1"/>
      <c r="C18" s="61"/>
      <c r="D18" s="1"/>
      <c r="E18" s="58"/>
      <c r="F18" s="58"/>
      <c r="G18" s="46"/>
      <c r="H18" s="46"/>
      <c r="I18" s="30">
        <f t="shared" si="0"/>
        <v>45764</v>
      </c>
      <c r="J18" s="48"/>
      <c r="K18" s="46"/>
      <c r="L18" s="46"/>
      <c r="M18" s="46"/>
      <c r="N18" s="46"/>
      <c r="O18" s="46"/>
      <c r="P18" s="55"/>
      <c r="Q18" s="55"/>
      <c r="R18" s="55"/>
      <c r="S18" s="55"/>
      <c r="T18" s="1"/>
      <c r="U18" s="58"/>
    </row>
    <row r="19" spans="1:25" x14ac:dyDescent="0.2">
      <c r="A19" s="23">
        <v>45765</v>
      </c>
      <c r="B19" s="1"/>
      <c r="C19" s="61">
        <v>30</v>
      </c>
      <c r="D19" s="1">
        <f>70+56</f>
        <v>126</v>
      </c>
      <c r="E19" s="58"/>
      <c r="F19" s="58">
        <f>50+20</f>
        <v>70</v>
      </c>
      <c r="G19" s="46"/>
      <c r="H19" s="46"/>
      <c r="I19" s="23">
        <f t="shared" si="0"/>
        <v>45765</v>
      </c>
      <c r="J19" s="48"/>
      <c r="K19" s="46"/>
      <c r="L19" s="46"/>
      <c r="M19" s="46"/>
      <c r="N19" s="46"/>
      <c r="O19" s="46"/>
      <c r="P19" s="55"/>
      <c r="Q19" s="55"/>
      <c r="R19" s="55"/>
      <c r="S19" s="55"/>
      <c r="T19" s="1"/>
      <c r="U19" s="58"/>
    </row>
    <row r="20" spans="1:25" x14ac:dyDescent="0.2">
      <c r="A20" s="23">
        <v>45766</v>
      </c>
      <c r="B20" s="1">
        <v>200</v>
      </c>
      <c r="C20" s="61">
        <v>50</v>
      </c>
      <c r="D20" s="1">
        <v>100</v>
      </c>
      <c r="E20" s="58"/>
      <c r="F20" s="60"/>
      <c r="G20" s="46"/>
      <c r="H20" s="46"/>
      <c r="I20" s="23">
        <f t="shared" si="0"/>
        <v>45766</v>
      </c>
      <c r="J20" s="48">
        <v>50</v>
      </c>
      <c r="K20" s="46"/>
      <c r="L20" s="46"/>
      <c r="M20" s="46"/>
      <c r="N20" s="46"/>
      <c r="O20" s="46"/>
      <c r="P20" s="55"/>
      <c r="Q20" s="55"/>
      <c r="R20" s="55"/>
      <c r="S20" s="55"/>
      <c r="T20" s="1"/>
      <c r="U20" s="58"/>
    </row>
    <row r="21" spans="1:25" x14ac:dyDescent="0.2">
      <c r="A21" s="23">
        <v>45767</v>
      </c>
      <c r="B21" s="1"/>
      <c r="C21" s="61"/>
      <c r="D21" s="1">
        <v>150</v>
      </c>
      <c r="E21" s="58"/>
      <c r="F21" s="58">
        <v>250</v>
      </c>
      <c r="G21" s="46"/>
      <c r="H21" s="46"/>
      <c r="I21" s="23">
        <f t="shared" si="0"/>
        <v>45767</v>
      </c>
      <c r="J21" s="48"/>
      <c r="K21" s="46"/>
      <c r="L21" s="46"/>
      <c r="M21" s="46"/>
      <c r="N21" s="46"/>
      <c r="O21" s="46"/>
      <c r="P21" s="55">
        <v>50</v>
      </c>
      <c r="Q21" s="55"/>
      <c r="R21" s="55"/>
      <c r="S21" s="55"/>
      <c r="T21" s="1"/>
      <c r="U21" s="58"/>
    </row>
    <row r="22" spans="1:25" ht="15" customHeight="1" x14ac:dyDescent="0.2">
      <c r="A22" s="23">
        <v>45768</v>
      </c>
      <c r="B22" s="1"/>
      <c r="C22" s="61">
        <v>110</v>
      </c>
      <c r="D22" s="1"/>
      <c r="E22" s="58"/>
      <c r="F22" s="58">
        <f>225+15</f>
        <v>240</v>
      </c>
      <c r="G22" s="46">
        <v>200</v>
      </c>
      <c r="H22" s="46"/>
      <c r="I22" s="23">
        <f t="shared" si="0"/>
        <v>45768</v>
      </c>
      <c r="J22" s="48"/>
      <c r="K22" s="46"/>
      <c r="L22" s="46"/>
      <c r="M22" s="46"/>
      <c r="N22" s="46"/>
      <c r="O22" s="46"/>
      <c r="P22" s="55"/>
      <c r="Q22" s="55"/>
      <c r="R22" s="55"/>
      <c r="S22" s="55"/>
      <c r="T22" s="1"/>
      <c r="U22" s="58"/>
    </row>
    <row r="23" spans="1:25" ht="18.75" customHeight="1" x14ac:dyDescent="0.2">
      <c r="A23" s="23">
        <v>45769</v>
      </c>
      <c r="B23" s="45"/>
      <c r="C23" s="62">
        <v>60</v>
      </c>
      <c r="D23" s="44">
        <v>50</v>
      </c>
      <c r="E23" s="58"/>
      <c r="F23" s="60">
        <v>50</v>
      </c>
      <c r="G23" s="47"/>
      <c r="H23" s="46"/>
      <c r="I23" s="23">
        <f t="shared" si="0"/>
        <v>45769</v>
      </c>
      <c r="J23" s="52"/>
      <c r="K23" s="46"/>
      <c r="L23" s="46"/>
      <c r="M23" s="46">
        <v>50</v>
      </c>
      <c r="N23" s="46"/>
      <c r="O23" s="46"/>
      <c r="P23" s="55"/>
      <c r="Q23" s="55"/>
      <c r="R23" s="55">
        <v>16</v>
      </c>
      <c r="S23" s="55"/>
      <c r="T23" s="1"/>
      <c r="U23" s="58"/>
      <c r="V23" s="65" t="s">
        <v>3</v>
      </c>
      <c r="W23" s="65"/>
      <c r="X23" s="65"/>
    </row>
    <row r="24" spans="1:25" x14ac:dyDescent="0.2">
      <c r="A24" s="23">
        <v>45770</v>
      </c>
      <c r="B24" s="1">
        <v>400</v>
      </c>
      <c r="C24" s="61">
        <v>200</v>
      </c>
      <c r="D24" s="1">
        <f>100+200</f>
        <v>300</v>
      </c>
      <c r="E24" s="58">
        <v>500</v>
      </c>
      <c r="F24" s="58">
        <f>65+150</f>
        <v>215</v>
      </c>
      <c r="G24" s="46">
        <v>500</v>
      </c>
      <c r="H24" s="46">
        <v>400</v>
      </c>
      <c r="I24" s="23">
        <f t="shared" si="0"/>
        <v>45770</v>
      </c>
      <c r="J24" s="48"/>
      <c r="K24" s="46">
        <v>200</v>
      </c>
      <c r="L24" s="46"/>
      <c r="M24" s="46">
        <v>400</v>
      </c>
      <c r="N24" s="46">
        <v>100</v>
      </c>
      <c r="O24" s="46"/>
      <c r="P24" s="55">
        <v>150</v>
      </c>
      <c r="Q24" s="55">
        <v>150</v>
      </c>
      <c r="R24" s="55">
        <f>100+400+391</f>
        <v>891</v>
      </c>
      <c r="S24" s="55">
        <v>100</v>
      </c>
      <c r="T24" s="1">
        <v>500</v>
      </c>
      <c r="U24" s="58">
        <v>600</v>
      </c>
      <c r="V24" s="66">
        <f>+B37+D37+T37</f>
        <v>0</v>
      </c>
      <c r="W24" s="66"/>
      <c r="X24" s="66"/>
    </row>
    <row r="25" spans="1:25" x14ac:dyDescent="0.2">
      <c r="A25" s="30">
        <v>45771</v>
      </c>
      <c r="B25" s="1"/>
      <c r="C25" s="61"/>
      <c r="D25" s="44"/>
      <c r="E25" s="58"/>
      <c r="F25" s="60"/>
      <c r="G25" s="46"/>
      <c r="H25" s="46"/>
      <c r="I25" s="30">
        <f t="shared" si="0"/>
        <v>45771</v>
      </c>
      <c r="J25" s="48"/>
      <c r="K25" s="46"/>
      <c r="L25" s="46"/>
      <c r="M25" s="46"/>
      <c r="N25" s="46"/>
      <c r="O25" s="46"/>
      <c r="P25" s="55"/>
      <c r="Q25" s="55"/>
      <c r="R25" s="55"/>
      <c r="S25" s="55"/>
      <c r="T25" s="1"/>
      <c r="U25" s="58"/>
    </row>
    <row r="26" spans="1:25" ht="17.25" customHeight="1" x14ac:dyDescent="0.2">
      <c r="A26" s="23">
        <v>45772</v>
      </c>
      <c r="B26" s="1">
        <v>35</v>
      </c>
      <c r="C26" s="61"/>
      <c r="D26" s="1">
        <v>100</v>
      </c>
      <c r="E26" s="58"/>
      <c r="F26" s="58">
        <v>10</v>
      </c>
      <c r="G26" s="46"/>
      <c r="H26" s="46"/>
      <c r="I26" s="23">
        <f t="shared" si="0"/>
        <v>45772</v>
      </c>
      <c r="J26" s="48"/>
      <c r="K26" s="46"/>
      <c r="L26" s="46"/>
      <c r="M26" s="46"/>
      <c r="N26" s="46"/>
      <c r="O26" s="46"/>
      <c r="P26" s="56"/>
      <c r="Q26" s="56"/>
      <c r="R26" s="55"/>
      <c r="S26" s="55"/>
      <c r="T26" s="1"/>
      <c r="U26" s="58"/>
    </row>
    <row r="27" spans="1:25" ht="18.75" customHeight="1" x14ac:dyDescent="0.25">
      <c r="A27" s="23">
        <v>45773</v>
      </c>
      <c r="B27" s="1"/>
      <c r="C27" s="61"/>
      <c r="D27" s="1"/>
      <c r="E27" s="58"/>
      <c r="F27" s="58"/>
      <c r="G27" s="46"/>
      <c r="H27" s="46"/>
      <c r="I27" s="23">
        <f t="shared" si="0"/>
        <v>45773</v>
      </c>
      <c r="J27" s="48"/>
      <c r="K27" s="46"/>
      <c r="L27" s="50"/>
      <c r="M27" s="46"/>
      <c r="N27" s="46"/>
      <c r="O27" s="46"/>
      <c r="P27" s="55"/>
      <c r="Q27" s="55"/>
      <c r="R27" s="56"/>
      <c r="S27" s="55"/>
      <c r="T27" s="1"/>
      <c r="U27" s="58"/>
      <c r="V27" s="7" t="s">
        <v>1</v>
      </c>
      <c r="W27" s="6" t="s">
        <v>2</v>
      </c>
      <c r="X27" s="8" t="s">
        <v>6</v>
      </c>
      <c r="Y27" s="18" t="s">
        <v>4</v>
      </c>
    </row>
    <row r="28" spans="1:25" ht="17.25" customHeight="1" x14ac:dyDescent="0.2">
      <c r="A28" s="23">
        <v>45774</v>
      </c>
      <c r="B28" s="1"/>
      <c r="C28" s="61"/>
      <c r="D28" s="1"/>
      <c r="E28" s="58"/>
      <c r="F28" s="58"/>
      <c r="G28" s="46"/>
      <c r="H28" s="46"/>
      <c r="I28" s="23">
        <f t="shared" si="0"/>
        <v>45774</v>
      </c>
      <c r="J28" s="53"/>
      <c r="K28" s="46"/>
      <c r="L28" s="46"/>
      <c r="M28" s="46"/>
      <c r="N28" s="46"/>
      <c r="O28" s="46"/>
      <c r="P28" s="55"/>
      <c r="Q28" s="57"/>
      <c r="R28" s="55"/>
      <c r="S28" s="55"/>
      <c r="T28" s="1"/>
      <c r="U28" s="58"/>
      <c r="V28" s="4">
        <f>+G37+H37+K37+L37+M37+N37+O37+J37</f>
        <v>0</v>
      </c>
      <c r="W28" s="4">
        <f>P35+P37+Q35+Q37+R37+S35+S37</f>
        <v>0</v>
      </c>
      <c r="X28" s="4">
        <f>+G35+E35+B35+C35+J35+K35+L35+M35+F35+H35+N35+O35+T35+D35</f>
        <v>38900</v>
      </c>
      <c r="Y28">
        <f>+C15+G8+M14+N25+P20</f>
        <v>650</v>
      </c>
    </row>
    <row r="29" spans="1:25" ht="16.5" customHeight="1" x14ac:dyDescent="0.2">
      <c r="A29" s="23">
        <v>45775</v>
      </c>
      <c r="B29" s="1"/>
      <c r="C29" s="61"/>
      <c r="D29" s="1"/>
      <c r="E29" s="58"/>
      <c r="F29" s="58"/>
      <c r="G29" s="46"/>
      <c r="H29" s="46"/>
      <c r="I29" s="23">
        <f t="shared" si="0"/>
        <v>45775</v>
      </c>
      <c r="J29" s="48"/>
      <c r="K29" s="46"/>
      <c r="L29" s="46"/>
      <c r="M29" s="46"/>
      <c r="N29" s="46"/>
      <c r="O29" s="46"/>
      <c r="P29" s="55"/>
      <c r="Q29" s="55"/>
      <c r="R29" s="55"/>
      <c r="S29" s="55"/>
      <c r="T29" s="1"/>
      <c r="U29" s="58"/>
    </row>
    <row r="30" spans="1:25" x14ac:dyDescent="0.2">
      <c r="A30" s="23">
        <v>45776</v>
      </c>
      <c r="B30" s="1"/>
      <c r="C30" s="62"/>
      <c r="D30" s="44"/>
      <c r="E30" s="58"/>
      <c r="F30" s="60"/>
      <c r="G30" s="47"/>
      <c r="H30" s="46"/>
      <c r="I30" s="23">
        <f t="shared" si="0"/>
        <v>45776</v>
      </c>
      <c r="J30" s="52"/>
      <c r="K30" s="46"/>
      <c r="L30" s="46"/>
      <c r="M30" s="46"/>
      <c r="N30" s="46"/>
      <c r="O30" s="46"/>
      <c r="P30" s="55"/>
      <c r="Q30" s="55"/>
      <c r="R30" s="55"/>
      <c r="S30" s="55"/>
      <c r="T30" s="1"/>
      <c r="U30" s="58"/>
    </row>
    <row r="31" spans="1:25" ht="20.25" customHeight="1" x14ac:dyDescent="0.2">
      <c r="A31" s="23">
        <v>45777</v>
      </c>
      <c r="B31" s="1"/>
      <c r="C31" s="61"/>
      <c r="D31" s="1"/>
      <c r="E31" s="58"/>
      <c r="F31" s="58"/>
      <c r="G31" s="46"/>
      <c r="H31" s="46"/>
      <c r="I31" s="23">
        <f t="shared" si="0"/>
        <v>45777</v>
      </c>
      <c r="J31" s="53"/>
      <c r="K31" s="54"/>
      <c r="L31" s="46"/>
      <c r="M31" s="46"/>
      <c r="N31" s="46"/>
      <c r="O31" s="46"/>
      <c r="P31" s="55"/>
      <c r="Q31" s="55"/>
      <c r="R31" s="55"/>
      <c r="S31" s="55"/>
      <c r="T31" s="1"/>
      <c r="U31" s="58"/>
      <c r="W31" s="36"/>
      <c r="X31" t="s">
        <v>30</v>
      </c>
    </row>
    <row r="32" spans="1:25" ht="21.75" customHeight="1" x14ac:dyDescent="0.2">
      <c r="A32" s="23"/>
      <c r="B32" s="40"/>
      <c r="E32" s="41"/>
      <c r="F32" s="42"/>
      <c r="I32" s="23"/>
      <c r="J32" s="43"/>
      <c r="L32" s="39"/>
      <c r="M32" s="42"/>
      <c r="P32" s="39"/>
      <c r="Q32" s="39"/>
      <c r="S32" s="39"/>
      <c r="W32" s="11"/>
      <c r="X32">
        <v>1500</v>
      </c>
    </row>
    <row r="33" spans="1:23" ht="18" customHeight="1" x14ac:dyDescent="0.2">
      <c r="A33" s="67" t="s">
        <v>10</v>
      </c>
      <c r="B33">
        <f t="shared" ref="B33:E33" si="1">SUM(B2:B32)</f>
        <v>3026.71</v>
      </c>
      <c r="C33">
        <f t="shared" si="1"/>
        <v>3985.71</v>
      </c>
      <c r="D33">
        <f t="shared" si="1"/>
        <v>4743.97</v>
      </c>
      <c r="E33">
        <f t="shared" si="1"/>
        <v>1485.71</v>
      </c>
      <c r="F33">
        <f>SUM(F2:F32)</f>
        <v>8829.4500000000007</v>
      </c>
      <c r="G33">
        <f>SUM(G2:G32)</f>
        <v>2535.71</v>
      </c>
      <c r="H33">
        <f>SUM(H2:H32)</f>
        <v>3285.71</v>
      </c>
      <c r="I33" s="27"/>
      <c r="J33">
        <f t="shared" ref="J33:T33" si="2">SUM(J2:J32)</f>
        <v>1085.71</v>
      </c>
      <c r="K33">
        <f t="shared" si="2"/>
        <v>1700</v>
      </c>
      <c r="L33">
        <f t="shared" si="2"/>
        <v>985.71</v>
      </c>
      <c r="M33">
        <f t="shared" si="2"/>
        <v>2595.19</v>
      </c>
      <c r="N33">
        <f t="shared" si="2"/>
        <v>2600</v>
      </c>
      <c r="O33">
        <f t="shared" si="2"/>
        <v>200</v>
      </c>
      <c r="P33">
        <f t="shared" si="2"/>
        <v>1080.71</v>
      </c>
      <c r="Q33">
        <f t="shared" si="2"/>
        <v>1135.71</v>
      </c>
      <c r="R33">
        <f t="shared" si="2"/>
        <v>4396.9799999999996</v>
      </c>
      <c r="S33">
        <f t="shared" si="2"/>
        <v>400</v>
      </c>
      <c r="T33">
        <f t="shared" si="2"/>
        <v>1735.71</v>
      </c>
      <c r="U33" s="4">
        <f>SUM(الجدول1[[#All],[عمود17]])</f>
        <v>900</v>
      </c>
    </row>
    <row r="34" spans="1:23" ht="24" customHeight="1" x14ac:dyDescent="0.2">
      <c r="A34" s="68" t="s">
        <v>11</v>
      </c>
      <c r="B34" s="26">
        <f>3000-B33</f>
        <v>-26.710000000000036</v>
      </c>
      <c r="C34" s="26">
        <f>3000-C33</f>
        <v>-985.71</v>
      </c>
      <c r="D34" s="26">
        <f>3000-D33</f>
        <v>-1743.9700000000003</v>
      </c>
      <c r="E34" s="26">
        <f>3000-E33</f>
        <v>1514.29</v>
      </c>
      <c r="F34" s="26">
        <f>4000-F33</f>
        <v>-4829.4500000000007</v>
      </c>
      <c r="G34" s="26">
        <f>3000-G33</f>
        <v>464.28999999999996</v>
      </c>
      <c r="H34" s="26">
        <f>3000-H33</f>
        <v>-285.71000000000004</v>
      </c>
      <c r="I34" s="27"/>
      <c r="J34">
        <f>2500-J33</f>
        <v>1414.29</v>
      </c>
      <c r="K34">
        <f>2000-K33</f>
        <v>300</v>
      </c>
      <c r="L34">
        <f>3000-L33</f>
        <v>2014.29</v>
      </c>
      <c r="M34">
        <f>2700-M33</f>
        <v>104.80999999999995</v>
      </c>
      <c r="N34">
        <f>2700-N33</f>
        <v>100</v>
      </c>
      <c r="O34">
        <f>1000-O33</f>
        <v>800</v>
      </c>
      <c r="P34">
        <f>1500-P33</f>
        <v>419.28999999999996</v>
      </c>
      <c r="Q34">
        <f>2000-Q33</f>
        <v>864.29</v>
      </c>
      <c r="R34" s="25">
        <f>0-R33</f>
        <v>-4396.9799999999996</v>
      </c>
      <c r="S34">
        <f>400-S33</f>
        <v>0</v>
      </c>
      <c r="T34">
        <f>3000-T33</f>
        <v>1264.29</v>
      </c>
      <c r="U34" s="4">
        <f>2000-U33</f>
        <v>1100</v>
      </c>
      <c r="W34" s="10" t="s">
        <v>5</v>
      </c>
    </row>
    <row r="35" spans="1:23" ht="21" customHeight="1" x14ac:dyDescent="0.2">
      <c r="A35" s="67" t="s">
        <v>7</v>
      </c>
      <c r="B35" s="5">
        <v>3000</v>
      </c>
      <c r="C35" s="5">
        <v>3000</v>
      </c>
      <c r="D35" s="5">
        <v>3000</v>
      </c>
      <c r="E35" s="5">
        <v>3000</v>
      </c>
      <c r="F35" s="5">
        <v>4000</v>
      </c>
      <c r="G35" s="5">
        <v>3000</v>
      </c>
      <c r="H35" s="5">
        <v>3000</v>
      </c>
      <c r="I35" s="27"/>
      <c r="J35" s="5">
        <v>2500</v>
      </c>
      <c r="K35" s="5">
        <v>2000</v>
      </c>
      <c r="L35" s="5">
        <v>3000</v>
      </c>
      <c r="M35" s="5">
        <v>2700</v>
      </c>
      <c r="N35" s="5">
        <v>2700</v>
      </c>
      <c r="O35" s="28">
        <v>1000</v>
      </c>
      <c r="P35" s="14">
        <v>1500</v>
      </c>
      <c r="Q35" s="14">
        <v>2000</v>
      </c>
      <c r="S35" s="33">
        <v>500</v>
      </c>
      <c r="T35" s="37">
        <v>3000</v>
      </c>
      <c r="U35" s="37">
        <v>2000</v>
      </c>
      <c r="V35" s="11"/>
      <c r="W35">
        <f>+C37+E37+F37</f>
        <v>0</v>
      </c>
    </row>
    <row r="36" spans="1:23" x14ac:dyDescent="0.2">
      <c r="A36" s="67" t="s">
        <v>8</v>
      </c>
      <c r="B36" s="9">
        <f>2000-2000</f>
        <v>0</v>
      </c>
      <c r="C36" s="9">
        <v>0</v>
      </c>
      <c r="D36" s="9">
        <f>1000-1000</f>
        <v>0</v>
      </c>
      <c r="E36" s="9"/>
      <c r="F36" s="9">
        <f>2071-2071</f>
        <v>0</v>
      </c>
      <c r="G36" s="9">
        <f>1963.01-1963.01</f>
        <v>0</v>
      </c>
      <c r="H36" s="9">
        <f>2500-2500</f>
        <v>0</v>
      </c>
      <c r="I36" s="27"/>
      <c r="J36" s="9"/>
      <c r="K36" s="9"/>
      <c r="L36" s="9">
        <f>1000-1000</f>
        <v>0</v>
      </c>
      <c r="M36" s="9"/>
      <c r="N36" s="9">
        <f>1500-1500</f>
        <v>0</v>
      </c>
      <c r="O36" s="9"/>
      <c r="P36" s="15"/>
      <c r="R36" s="9">
        <f>2502-2502</f>
        <v>0</v>
      </c>
      <c r="T36" s="9">
        <f>1000-1000</f>
        <v>0</v>
      </c>
      <c r="U36" s="4"/>
    </row>
    <row r="37" spans="1:23" ht="27.75" customHeight="1" x14ac:dyDescent="0.2">
      <c r="A37" s="67" t="s">
        <v>9</v>
      </c>
      <c r="B37" s="10">
        <f>0*0.06</f>
        <v>0</v>
      </c>
      <c r="C37" s="10">
        <f>0*0.06</f>
        <v>0</v>
      </c>
      <c r="D37" s="10">
        <f>0*0.07</f>
        <v>0</v>
      </c>
      <c r="E37" s="10">
        <f>0*0.06</f>
        <v>0</v>
      </c>
      <c r="F37" s="10">
        <f>0*0.08</f>
        <v>0</v>
      </c>
      <c r="G37" s="3">
        <f>0*0.1</f>
        <v>0</v>
      </c>
      <c r="H37" s="16">
        <f>0*0.1</f>
        <v>0</v>
      </c>
      <c r="I37" s="27"/>
      <c r="J37" s="38">
        <v>0</v>
      </c>
      <c r="K37" s="3">
        <v>0</v>
      </c>
      <c r="L37" s="3">
        <f>0*0.1</f>
        <v>0</v>
      </c>
      <c r="M37" s="3">
        <f>0*0.1+0</f>
        <v>0</v>
      </c>
      <c r="N37" s="29">
        <f>0*0.1</f>
        <v>0</v>
      </c>
      <c r="O37" s="29">
        <v>0</v>
      </c>
      <c r="P37" s="14">
        <v>0</v>
      </c>
      <c r="Q37" s="14">
        <v>0</v>
      </c>
      <c r="R37" s="14">
        <f>(0/2)-P35-P37-Q35-Q37-S35-S37</f>
        <v>-4000</v>
      </c>
      <c r="S37" s="59">
        <v>0</v>
      </c>
      <c r="T37" s="24">
        <f>0*0.06</f>
        <v>0</v>
      </c>
      <c r="U37" s="34">
        <v>0</v>
      </c>
      <c r="W37" s="35" t="s">
        <v>31</v>
      </c>
    </row>
    <row r="38" spans="1:23" ht="21" customHeight="1" x14ac:dyDescent="0.2">
      <c r="A38" s="67" t="s">
        <v>12</v>
      </c>
      <c r="B38" s="22">
        <f>B34-B36+B37</f>
        <v>-26.710000000000036</v>
      </c>
      <c r="C38">
        <f t="shared" ref="C38:H38" si="3">+C34+C37-C36</f>
        <v>-985.71</v>
      </c>
      <c r="D38">
        <f>+D34+D37-D36</f>
        <v>-1743.9700000000003</v>
      </c>
      <c r="E38">
        <f>+E34+E37-E36</f>
        <v>1514.29</v>
      </c>
      <c r="F38">
        <f>+F34+F37-F36</f>
        <v>-4829.4500000000007</v>
      </c>
      <c r="G38">
        <f>+G34+G37-G36</f>
        <v>464.28999999999996</v>
      </c>
      <c r="H38">
        <f t="shared" si="3"/>
        <v>-285.71000000000004</v>
      </c>
      <c r="I38" s="27"/>
      <c r="J38">
        <f>+J34+J37-J36</f>
        <v>1414.29</v>
      </c>
      <c r="K38">
        <f>+K34+K37-K36</f>
        <v>300</v>
      </c>
      <c r="L38">
        <f>+L34+L37-L36</f>
        <v>2014.29</v>
      </c>
      <c r="M38">
        <f>+M34+M37-M36</f>
        <v>104.80999999999995</v>
      </c>
      <c r="N38">
        <f>N34+N37-N36</f>
        <v>100</v>
      </c>
      <c r="O38">
        <f>+O34+O37-O36</f>
        <v>800</v>
      </c>
      <c r="P38">
        <f>+P34+P37</f>
        <v>419.28999999999996</v>
      </c>
      <c r="Q38">
        <f>+Q34+Q37-Q36</f>
        <v>864.29</v>
      </c>
      <c r="R38">
        <f>+R34+R37-R36</f>
        <v>-8396.98</v>
      </c>
      <c r="S38">
        <f>+S34+S37</f>
        <v>0</v>
      </c>
      <c r="T38">
        <f>+T34+T37-T36</f>
        <v>1264.29</v>
      </c>
      <c r="U38" s="4"/>
      <c r="W38" s="11">
        <f>0</f>
        <v>0</v>
      </c>
    </row>
    <row r="39" spans="1:23" x14ac:dyDescent="0.2">
      <c r="A39" s="13"/>
      <c r="D39" s="22" t="s">
        <v>32</v>
      </c>
    </row>
    <row r="40" spans="1:23" x14ac:dyDescent="0.2">
      <c r="A40" s="13"/>
      <c r="I40"/>
    </row>
    <row r="41" spans="1:23" x14ac:dyDescent="0.2">
      <c r="A41" s="12"/>
      <c r="F41">
        <f>58015.69-10000</f>
        <v>48015.69</v>
      </c>
    </row>
    <row r="42" spans="1:23" x14ac:dyDescent="0.2">
      <c r="A42" s="12"/>
    </row>
  </sheetData>
  <mergeCells count="2">
    <mergeCell ref="V23:X23"/>
    <mergeCell ref="V24:X24"/>
  </mergeCells>
  <conditionalFormatting sqref="B34:H34">
    <cfRule type="cellIs" dxfId="2" priority="4" operator="lessThan">
      <formula>0</formula>
    </cfRule>
  </conditionalFormatting>
  <conditionalFormatting sqref="B38:H38 J38:U38">
    <cfRule type="cellIs" dxfId="1" priority="7" operator="lessThan">
      <formula>0</formula>
    </cfRule>
  </conditionalFormatting>
  <conditionalFormatting sqref="J34:Q34 S34:U34 B38:H38 J38:U38">
    <cfRule type="cellIs" dxfId="0" priority="2" operator="lessThan">
      <formula>0</formula>
    </cfRule>
  </conditionalFormatting>
  <printOptions headings="1" gridLines="1"/>
  <pageMargins left="0.7" right="0.7" top="0.75" bottom="0.75" header="0.3" footer="0.3"/>
  <pageSetup paperSize="9" scale="44" orientation="landscape" cellComments="atEnd" r:id="rId1"/>
  <ignoredErrors>
    <ignoredError sqref="F34 N38" formula="1"/>
    <ignoredError sqref="I2:I31" calculatedColumn="1"/>
  </ignoredErrors>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المخططات</vt:lpstr>
      </vt:variant>
      <vt:variant>
        <vt:i4>1</vt:i4>
      </vt:variant>
    </vt:vector>
  </HeadingPairs>
  <TitlesOfParts>
    <vt:vector size="2" baseType="lpstr">
      <vt:lpstr>ورقة1</vt:lpstr>
      <vt:lpstr>مخطط1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Fut Abd</cp:lastModifiedBy>
  <cp:lastPrinted>2026-04-05T06:36:24Z</cp:lastPrinted>
  <dcterms:created xsi:type="dcterms:W3CDTF">2015-06-05T18:17:20Z</dcterms:created>
  <dcterms:modified xsi:type="dcterms:W3CDTF">2026-04-25T10:56:04Z</dcterms:modified>
</cp:coreProperties>
</file>